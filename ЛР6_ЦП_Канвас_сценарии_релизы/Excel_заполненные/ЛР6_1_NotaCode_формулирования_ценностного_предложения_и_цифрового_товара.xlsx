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6_ЦП_Канвас_сценарии_релизы\Excel_заполненные\"/>
    </mc:Choice>
  </mc:AlternateContent>
  <xr:revisionPtr revIDLastSave="0" documentId="13_ncr:1_{882C235F-072A-4968-9C87-086351EEC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правочники" sheetId="1" r:id="rId1"/>
    <sheet name="Инструкция" sheetId="2" r:id="rId2"/>
    <sheet name="Исходные данные" sheetId="3" r:id="rId3"/>
    <sheet name="Проблемы клиентов" sheetId="4" r:id="rId4"/>
    <sheet name="Конкурентные решения" sheetId="5" r:id="rId5"/>
    <sheet name="Ценностные предложения" sheetId="6" r:id="rId6"/>
    <sheet name="Цифровой товар" sheetId="7" r:id="rId7"/>
    <sheet name="Единица монетизации" sheetId="8" r:id="rId8"/>
    <sheet name="Бизнес-модель" sheetId="9" r:id="rId9"/>
    <sheet name="Проверка связности" sheetId="10" r:id="rId10"/>
    <sheet name="Дашборд" sheetId="11" r:id="rId11"/>
  </sheets>
  <calcPr calcId="191029" refMode="R1C1"/>
</workbook>
</file>

<file path=xl/calcChain.xml><?xml version="1.0" encoding="utf-8"?>
<calcChain xmlns="http://schemas.openxmlformats.org/spreadsheetml/2006/main">
  <c r="B5" i="11" l="1"/>
  <c r="G104" i="10"/>
  <c r="H104" i="10" s="1"/>
  <c r="G103" i="10"/>
  <c r="H103" i="10" s="1"/>
  <c r="G102" i="10"/>
  <c r="H102" i="10" s="1"/>
  <c r="G101" i="10"/>
  <c r="H101" i="10" s="1"/>
  <c r="G100" i="10"/>
  <c r="H100" i="10" s="1"/>
  <c r="G99" i="10"/>
  <c r="H99" i="10" s="1"/>
  <c r="G98" i="10"/>
  <c r="H98" i="10" s="1"/>
  <c r="G97" i="10"/>
  <c r="H97" i="10" s="1"/>
  <c r="G96" i="10"/>
  <c r="H96" i="10" s="1"/>
  <c r="G95" i="10"/>
  <c r="H95" i="10" s="1"/>
  <c r="G94" i="10"/>
  <c r="H94" i="10" s="1"/>
  <c r="G93" i="10"/>
  <c r="H93" i="10" s="1"/>
  <c r="G92" i="10"/>
  <c r="H92" i="10" s="1"/>
  <c r="G91" i="10"/>
  <c r="H91" i="10" s="1"/>
  <c r="G90" i="10"/>
  <c r="H90" i="10" s="1"/>
  <c r="G89" i="10"/>
  <c r="H89" i="10" s="1"/>
  <c r="G88" i="10"/>
  <c r="H88" i="10" s="1"/>
  <c r="G87" i="10"/>
  <c r="H87" i="10" s="1"/>
  <c r="G86" i="10"/>
  <c r="H86" i="10" s="1"/>
  <c r="G85" i="10"/>
  <c r="H85" i="10" s="1"/>
  <c r="G84" i="10"/>
  <c r="H84" i="10" s="1"/>
  <c r="G83" i="10"/>
  <c r="H83" i="10" s="1"/>
  <c r="G82" i="10"/>
  <c r="H82" i="10" s="1"/>
  <c r="G81" i="10"/>
  <c r="H81" i="10" s="1"/>
  <c r="G80" i="10"/>
  <c r="H80" i="10" s="1"/>
  <c r="G79" i="10"/>
  <c r="H79" i="10" s="1"/>
  <c r="G78" i="10"/>
  <c r="H78" i="10" s="1"/>
  <c r="G77" i="10"/>
  <c r="H77" i="10" s="1"/>
  <c r="G76" i="10"/>
  <c r="H76" i="10" s="1"/>
  <c r="G75" i="10"/>
  <c r="H75" i="10" s="1"/>
  <c r="G74" i="10"/>
  <c r="H74" i="10" s="1"/>
  <c r="G73" i="10"/>
  <c r="H73" i="10" s="1"/>
  <c r="G72" i="10"/>
  <c r="H72" i="10" s="1"/>
  <c r="G71" i="10"/>
  <c r="H71" i="10" s="1"/>
  <c r="G70" i="10"/>
  <c r="H70" i="10" s="1"/>
  <c r="G69" i="10"/>
  <c r="H69" i="10" s="1"/>
  <c r="G68" i="10"/>
  <c r="H68" i="10" s="1"/>
  <c r="G67" i="10"/>
  <c r="H67" i="10" s="1"/>
  <c r="G66" i="10"/>
  <c r="H66" i="10" s="1"/>
  <c r="G65" i="10"/>
  <c r="H65" i="10" s="1"/>
  <c r="G64" i="10"/>
  <c r="H64" i="10" s="1"/>
  <c r="G63" i="10"/>
  <c r="H63" i="10" s="1"/>
  <c r="G62" i="10"/>
  <c r="H62" i="10" s="1"/>
  <c r="G61" i="10"/>
  <c r="H61" i="10" s="1"/>
  <c r="G60" i="10"/>
  <c r="H60" i="10" s="1"/>
  <c r="G59" i="10"/>
  <c r="H59" i="10" s="1"/>
  <c r="G58" i="10"/>
  <c r="H58" i="10" s="1"/>
  <c r="G57" i="10"/>
  <c r="H57" i="10" s="1"/>
  <c r="G56" i="10"/>
  <c r="H56" i="10" s="1"/>
  <c r="G55" i="10"/>
  <c r="H55" i="10" s="1"/>
  <c r="G54" i="10"/>
  <c r="H54" i="10" s="1"/>
  <c r="G53" i="10"/>
  <c r="H53" i="10" s="1"/>
  <c r="G52" i="10"/>
  <c r="H52" i="10" s="1"/>
  <c r="G51" i="10"/>
  <c r="H51" i="10" s="1"/>
  <c r="G50" i="10"/>
  <c r="H50" i="10" s="1"/>
  <c r="G49" i="10"/>
  <c r="H49" i="10" s="1"/>
  <c r="G48" i="10"/>
  <c r="H48" i="10" s="1"/>
  <c r="G47" i="10"/>
  <c r="H47" i="10" s="1"/>
  <c r="G46" i="10"/>
  <c r="H46" i="10" s="1"/>
  <c r="G45" i="10"/>
  <c r="H45" i="10" s="1"/>
  <c r="G44" i="10"/>
  <c r="H44" i="10" s="1"/>
  <c r="G43" i="10"/>
  <c r="H43" i="10" s="1"/>
  <c r="G42" i="10"/>
  <c r="H42" i="10" s="1"/>
  <c r="G41" i="10"/>
  <c r="H41" i="10" s="1"/>
  <c r="G40" i="10"/>
  <c r="H40" i="10" s="1"/>
  <c r="G39" i="10"/>
  <c r="H39" i="10" s="1"/>
  <c r="G38" i="10"/>
  <c r="H38" i="10" s="1"/>
  <c r="G37" i="10"/>
  <c r="H37" i="10" s="1"/>
  <c r="G36" i="10"/>
  <c r="H36" i="10" s="1"/>
  <c r="G35" i="10"/>
  <c r="H35" i="10" s="1"/>
  <c r="G34" i="10"/>
  <c r="H34" i="10" s="1"/>
  <c r="G33" i="10"/>
  <c r="H33" i="10" s="1"/>
  <c r="G32" i="10"/>
  <c r="H32" i="10" s="1"/>
  <c r="G31" i="10"/>
  <c r="H31" i="10" s="1"/>
  <c r="G30" i="10"/>
  <c r="H30" i="10" s="1"/>
  <c r="G29" i="10"/>
  <c r="H29" i="10" s="1"/>
  <c r="G28" i="10"/>
  <c r="H28" i="10" s="1"/>
  <c r="G27" i="10"/>
  <c r="H27" i="10" s="1"/>
  <c r="G26" i="10"/>
  <c r="H26" i="10" s="1"/>
  <c r="G25" i="10"/>
  <c r="H25" i="10" s="1"/>
  <c r="G24" i="10"/>
  <c r="H24" i="10" s="1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N104" i="8"/>
  <c r="M104" i="8"/>
  <c r="H104" i="8"/>
  <c r="N103" i="8"/>
  <c r="M103" i="8"/>
  <c r="H103" i="8"/>
  <c r="N102" i="8"/>
  <c r="M102" i="8"/>
  <c r="H102" i="8"/>
  <c r="N101" i="8"/>
  <c r="M101" i="8"/>
  <c r="H101" i="8"/>
  <c r="N100" i="8"/>
  <c r="M100" i="8"/>
  <c r="H100" i="8"/>
  <c r="N99" i="8"/>
  <c r="M99" i="8"/>
  <c r="H99" i="8"/>
  <c r="N98" i="8"/>
  <c r="M98" i="8"/>
  <c r="H98" i="8"/>
  <c r="N97" i="8"/>
  <c r="M97" i="8"/>
  <c r="H97" i="8"/>
  <c r="N96" i="8"/>
  <c r="M96" i="8"/>
  <c r="H96" i="8"/>
  <c r="N95" i="8"/>
  <c r="M95" i="8"/>
  <c r="H95" i="8"/>
  <c r="N94" i="8"/>
  <c r="M94" i="8"/>
  <c r="H94" i="8"/>
  <c r="N93" i="8"/>
  <c r="M93" i="8"/>
  <c r="H93" i="8"/>
  <c r="N92" i="8"/>
  <c r="M92" i="8"/>
  <c r="H92" i="8"/>
  <c r="N91" i="8"/>
  <c r="M91" i="8"/>
  <c r="H91" i="8"/>
  <c r="N90" i="8"/>
  <c r="M90" i="8"/>
  <c r="H90" i="8"/>
  <c r="N89" i="8"/>
  <c r="M89" i="8"/>
  <c r="H89" i="8"/>
  <c r="N88" i="8"/>
  <c r="M88" i="8"/>
  <c r="H88" i="8"/>
  <c r="N87" i="8"/>
  <c r="M87" i="8"/>
  <c r="H87" i="8"/>
  <c r="N86" i="8"/>
  <c r="M86" i="8"/>
  <c r="H86" i="8"/>
  <c r="N85" i="8"/>
  <c r="M85" i="8"/>
  <c r="H85" i="8"/>
  <c r="N84" i="8"/>
  <c r="M84" i="8"/>
  <c r="H84" i="8"/>
  <c r="N83" i="8"/>
  <c r="M83" i="8"/>
  <c r="H83" i="8"/>
  <c r="N82" i="8"/>
  <c r="M82" i="8"/>
  <c r="H82" i="8"/>
  <c r="N81" i="8"/>
  <c r="M81" i="8"/>
  <c r="H81" i="8"/>
  <c r="N80" i="8"/>
  <c r="M80" i="8"/>
  <c r="H80" i="8"/>
  <c r="N79" i="8"/>
  <c r="M79" i="8"/>
  <c r="H79" i="8"/>
  <c r="N78" i="8"/>
  <c r="M78" i="8"/>
  <c r="H78" i="8"/>
  <c r="N77" i="8"/>
  <c r="M77" i="8"/>
  <c r="H77" i="8"/>
  <c r="N76" i="8"/>
  <c r="M76" i="8"/>
  <c r="H76" i="8"/>
  <c r="N75" i="8"/>
  <c r="M75" i="8"/>
  <c r="H75" i="8"/>
  <c r="N74" i="8"/>
  <c r="M74" i="8"/>
  <c r="H74" i="8"/>
  <c r="N73" i="8"/>
  <c r="M73" i="8"/>
  <c r="H73" i="8"/>
  <c r="N72" i="8"/>
  <c r="M72" i="8"/>
  <c r="H72" i="8"/>
  <c r="N71" i="8"/>
  <c r="M71" i="8"/>
  <c r="H71" i="8"/>
  <c r="N70" i="8"/>
  <c r="M70" i="8"/>
  <c r="H70" i="8"/>
  <c r="N69" i="8"/>
  <c r="M69" i="8"/>
  <c r="H69" i="8"/>
  <c r="N68" i="8"/>
  <c r="M68" i="8"/>
  <c r="H68" i="8"/>
  <c r="N67" i="8"/>
  <c r="M67" i="8"/>
  <c r="H67" i="8"/>
  <c r="N66" i="8"/>
  <c r="M66" i="8"/>
  <c r="H66" i="8"/>
  <c r="N65" i="8"/>
  <c r="M65" i="8"/>
  <c r="H65" i="8"/>
  <c r="N64" i="8"/>
  <c r="M64" i="8"/>
  <c r="H64" i="8"/>
  <c r="N63" i="8"/>
  <c r="M63" i="8"/>
  <c r="H63" i="8"/>
  <c r="N62" i="8"/>
  <c r="M62" i="8"/>
  <c r="H62" i="8"/>
  <c r="N61" i="8"/>
  <c r="M61" i="8"/>
  <c r="H61" i="8"/>
  <c r="N60" i="8"/>
  <c r="M60" i="8"/>
  <c r="H60" i="8"/>
  <c r="N59" i="8"/>
  <c r="M59" i="8"/>
  <c r="H59" i="8"/>
  <c r="N58" i="8"/>
  <c r="M58" i="8"/>
  <c r="H58" i="8"/>
  <c r="N57" i="8"/>
  <c r="M57" i="8"/>
  <c r="H57" i="8"/>
  <c r="N56" i="8"/>
  <c r="M56" i="8"/>
  <c r="H56" i="8"/>
  <c r="N55" i="8"/>
  <c r="M55" i="8"/>
  <c r="H55" i="8"/>
  <c r="N54" i="8"/>
  <c r="M54" i="8"/>
  <c r="H54" i="8"/>
  <c r="N53" i="8"/>
  <c r="M53" i="8"/>
  <c r="H53" i="8"/>
  <c r="N52" i="8"/>
  <c r="M52" i="8"/>
  <c r="H52" i="8"/>
  <c r="N51" i="8"/>
  <c r="M51" i="8"/>
  <c r="H51" i="8"/>
  <c r="N50" i="8"/>
  <c r="M50" i="8"/>
  <c r="H50" i="8"/>
  <c r="N49" i="8"/>
  <c r="M49" i="8"/>
  <c r="H49" i="8"/>
  <c r="N48" i="8"/>
  <c r="M48" i="8"/>
  <c r="H48" i="8"/>
  <c r="N47" i="8"/>
  <c r="M47" i="8"/>
  <c r="H47" i="8"/>
  <c r="N46" i="8"/>
  <c r="M46" i="8"/>
  <c r="H46" i="8"/>
  <c r="N45" i="8"/>
  <c r="M45" i="8"/>
  <c r="H45" i="8"/>
  <c r="N44" i="8"/>
  <c r="M44" i="8"/>
  <c r="H44" i="8"/>
  <c r="N43" i="8"/>
  <c r="M43" i="8"/>
  <c r="H43" i="8"/>
  <c r="N42" i="8"/>
  <c r="M42" i="8"/>
  <c r="H42" i="8"/>
  <c r="N41" i="8"/>
  <c r="M41" i="8"/>
  <c r="H41" i="8"/>
  <c r="N40" i="8"/>
  <c r="M40" i="8"/>
  <c r="H40" i="8"/>
  <c r="N39" i="8"/>
  <c r="M39" i="8"/>
  <c r="H39" i="8"/>
  <c r="N38" i="8"/>
  <c r="M38" i="8"/>
  <c r="H38" i="8"/>
  <c r="N37" i="8"/>
  <c r="M37" i="8"/>
  <c r="H37" i="8"/>
  <c r="N36" i="8"/>
  <c r="M36" i="8"/>
  <c r="H36" i="8"/>
  <c r="N35" i="8"/>
  <c r="M35" i="8"/>
  <c r="H35" i="8"/>
  <c r="N34" i="8"/>
  <c r="M34" i="8"/>
  <c r="H34" i="8"/>
  <c r="N33" i="8"/>
  <c r="M33" i="8"/>
  <c r="H33" i="8"/>
  <c r="N32" i="8"/>
  <c r="M32" i="8"/>
  <c r="H32" i="8"/>
  <c r="N31" i="8"/>
  <c r="M31" i="8"/>
  <c r="H31" i="8"/>
  <c r="N30" i="8"/>
  <c r="M30" i="8"/>
  <c r="H30" i="8"/>
  <c r="N29" i="8"/>
  <c r="M29" i="8"/>
  <c r="H29" i="8"/>
  <c r="N28" i="8"/>
  <c r="M28" i="8"/>
  <c r="H28" i="8"/>
  <c r="N27" i="8"/>
  <c r="M27" i="8"/>
  <c r="H27" i="8"/>
  <c r="N26" i="8"/>
  <c r="M26" i="8"/>
  <c r="H26" i="8"/>
  <c r="N25" i="8"/>
  <c r="M25" i="8"/>
  <c r="H25" i="8"/>
  <c r="N24" i="8"/>
  <c r="M24" i="8"/>
  <c r="H24" i="8"/>
  <c r="N23" i="8"/>
  <c r="M23" i="8"/>
  <c r="H23" i="8"/>
  <c r="N22" i="8"/>
  <c r="M22" i="8"/>
  <c r="H22" i="8"/>
  <c r="N21" i="8"/>
  <c r="M21" i="8"/>
  <c r="H21" i="8"/>
  <c r="N20" i="8"/>
  <c r="M20" i="8"/>
  <c r="H20" i="8"/>
  <c r="N19" i="8"/>
  <c r="M19" i="8"/>
  <c r="H19" i="8"/>
  <c r="N18" i="8"/>
  <c r="M18" i="8"/>
  <c r="H18" i="8"/>
  <c r="N17" i="8"/>
  <c r="M17" i="8"/>
  <c r="H17" i="8"/>
  <c r="N16" i="8"/>
  <c r="M16" i="8"/>
  <c r="H16" i="8"/>
  <c r="N15" i="8"/>
  <c r="M15" i="8"/>
  <c r="H15" i="8"/>
  <c r="N14" i="8"/>
  <c r="M14" i="8"/>
  <c r="H14" i="8"/>
  <c r="N13" i="8"/>
  <c r="M13" i="8"/>
  <c r="H13" i="8"/>
  <c r="N12" i="8"/>
  <c r="M12" i="8"/>
  <c r="H12" i="8"/>
  <c r="N11" i="8"/>
  <c r="M11" i="8"/>
  <c r="H11" i="8"/>
  <c r="N10" i="8"/>
  <c r="M10" i="8"/>
  <c r="H10" i="8"/>
  <c r="N9" i="8"/>
  <c r="M9" i="8"/>
  <c r="H9" i="8"/>
  <c r="N8" i="8"/>
  <c r="M8" i="8"/>
  <c r="H8" i="8"/>
  <c r="M7" i="8"/>
  <c r="N7" i="8" s="1"/>
  <c r="H7" i="8"/>
  <c r="M6" i="8"/>
  <c r="N6" i="8" s="1"/>
  <c r="H6" i="8"/>
  <c r="M5" i="8"/>
  <c r="N5" i="8" s="1"/>
  <c r="H5" i="8"/>
  <c r="L104" i="7"/>
  <c r="K104" i="7"/>
  <c r="J104" i="7"/>
  <c r="L103" i="7"/>
  <c r="K103" i="7"/>
  <c r="J103" i="7"/>
  <c r="L102" i="7"/>
  <c r="K102" i="7"/>
  <c r="J102" i="7"/>
  <c r="L101" i="7"/>
  <c r="K101" i="7"/>
  <c r="J101" i="7"/>
  <c r="L100" i="7"/>
  <c r="K100" i="7"/>
  <c r="J100" i="7"/>
  <c r="L99" i="7"/>
  <c r="K99" i="7"/>
  <c r="J99" i="7"/>
  <c r="L98" i="7"/>
  <c r="K98" i="7"/>
  <c r="J98" i="7"/>
  <c r="L97" i="7"/>
  <c r="K97" i="7"/>
  <c r="J97" i="7"/>
  <c r="L96" i="7"/>
  <c r="K96" i="7"/>
  <c r="J96" i="7"/>
  <c r="L95" i="7"/>
  <c r="K95" i="7"/>
  <c r="J95" i="7"/>
  <c r="L94" i="7"/>
  <c r="K94" i="7"/>
  <c r="J94" i="7"/>
  <c r="L93" i="7"/>
  <c r="K93" i="7"/>
  <c r="J93" i="7"/>
  <c r="L92" i="7"/>
  <c r="K92" i="7"/>
  <c r="J92" i="7"/>
  <c r="L91" i="7"/>
  <c r="K91" i="7"/>
  <c r="J91" i="7"/>
  <c r="L90" i="7"/>
  <c r="K90" i="7"/>
  <c r="J90" i="7"/>
  <c r="L89" i="7"/>
  <c r="K89" i="7"/>
  <c r="J89" i="7"/>
  <c r="L88" i="7"/>
  <c r="K88" i="7"/>
  <c r="J88" i="7"/>
  <c r="L87" i="7"/>
  <c r="K87" i="7"/>
  <c r="J87" i="7"/>
  <c r="L86" i="7"/>
  <c r="K86" i="7"/>
  <c r="J86" i="7"/>
  <c r="L85" i="7"/>
  <c r="K85" i="7"/>
  <c r="J85" i="7"/>
  <c r="L84" i="7"/>
  <c r="K84" i="7"/>
  <c r="J84" i="7"/>
  <c r="L83" i="7"/>
  <c r="K83" i="7"/>
  <c r="J83" i="7"/>
  <c r="L82" i="7"/>
  <c r="K82" i="7"/>
  <c r="J82" i="7"/>
  <c r="L81" i="7"/>
  <c r="K81" i="7"/>
  <c r="J81" i="7"/>
  <c r="L80" i="7"/>
  <c r="K80" i="7"/>
  <c r="J80" i="7"/>
  <c r="L79" i="7"/>
  <c r="K79" i="7"/>
  <c r="J79" i="7"/>
  <c r="L78" i="7"/>
  <c r="K78" i="7"/>
  <c r="J78" i="7"/>
  <c r="L77" i="7"/>
  <c r="K77" i="7"/>
  <c r="J77" i="7"/>
  <c r="L76" i="7"/>
  <c r="K76" i="7"/>
  <c r="J76" i="7"/>
  <c r="L75" i="7"/>
  <c r="K75" i="7"/>
  <c r="J75" i="7"/>
  <c r="L74" i="7"/>
  <c r="K74" i="7"/>
  <c r="J74" i="7"/>
  <c r="L73" i="7"/>
  <c r="K73" i="7"/>
  <c r="J73" i="7"/>
  <c r="L72" i="7"/>
  <c r="K72" i="7"/>
  <c r="J72" i="7"/>
  <c r="L71" i="7"/>
  <c r="K71" i="7"/>
  <c r="J71" i="7"/>
  <c r="L70" i="7"/>
  <c r="K70" i="7"/>
  <c r="J70" i="7"/>
  <c r="L69" i="7"/>
  <c r="K69" i="7"/>
  <c r="J69" i="7"/>
  <c r="L68" i="7"/>
  <c r="K68" i="7"/>
  <c r="J68" i="7"/>
  <c r="L67" i="7"/>
  <c r="K67" i="7"/>
  <c r="J67" i="7"/>
  <c r="L66" i="7"/>
  <c r="K66" i="7"/>
  <c r="J66" i="7"/>
  <c r="L65" i="7"/>
  <c r="K65" i="7"/>
  <c r="J65" i="7"/>
  <c r="L64" i="7"/>
  <c r="K64" i="7"/>
  <c r="J64" i="7"/>
  <c r="L63" i="7"/>
  <c r="K63" i="7"/>
  <c r="J63" i="7"/>
  <c r="L62" i="7"/>
  <c r="K62" i="7"/>
  <c r="J62" i="7"/>
  <c r="L61" i="7"/>
  <c r="K61" i="7"/>
  <c r="J61" i="7"/>
  <c r="L60" i="7"/>
  <c r="K60" i="7"/>
  <c r="J60" i="7"/>
  <c r="L59" i="7"/>
  <c r="K59" i="7"/>
  <c r="J59" i="7"/>
  <c r="L58" i="7"/>
  <c r="K58" i="7"/>
  <c r="J58" i="7"/>
  <c r="L57" i="7"/>
  <c r="K57" i="7"/>
  <c r="J57" i="7"/>
  <c r="L56" i="7"/>
  <c r="K56" i="7"/>
  <c r="J56" i="7"/>
  <c r="L55" i="7"/>
  <c r="K55" i="7"/>
  <c r="J55" i="7"/>
  <c r="L54" i="7"/>
  <c r="K54" i="7"/>
  <c r="J54" i="7"/>
  <c r="L53" i="7"/>
  <c r="K53" i="7"/>
  <c r="J53" i="7"/>
  <c r="L52" i="7"/>
  <c r="K52" i="7"/>
  <c r="J52" i="7"/>
  <c r="L51" i="7"/>
  <c r="K51" i="7"/>
  <c r="J51" i="7"/>
  <c r="L50" i="7"/>
  <c r="K50" i="7"/>
  <c r="J50" i="7"/>
  <c r="L49" i="7"/>
  <c r="K49" i="7"/>
  <c r="J49" i="7"/>
  <c r="L48" i="7"/>
  <c r="K48" i="7"/>
  <c r="J48" i="7"/>
  <c r="L47" i="7"/>
  <c r="K47" i="7"/>
  <c r="J47" i="7"/>
  <c r="L46" i="7"/>
  <c r="K46" i="7"/>
  <c r="J46" i="7"/>
  <c r="L45" i="7"/>
  <c r="K45" i="7"/>
  <c r="J45" i="7"/>
  <c r="L44" i="7"/>
  <c r="K44" i="7"/>
  <c r="J44" i="7"/>
  <c r="L43" i="7"/>
  <c r="K43" i="7"/>
  <c r="J43" i="7"/>
  <c r="L42" i="7"/>
  <c r="K42" i="7"/>
  <c r="J42" i="7"/>
  <c r="L41" i="7"/>
  <c r="K41" i="7"/>
  <c r="J41" i="7"/>
  <c r="L40" i="7"/>
  <c r="K40" i="7"/>
  <c r="J40" i="7"/>
  <c r="L39" i="7"/>
  <c r="K39" i="7"/>
  <c r="J39" i="7"/>
  <c r="L38" i="7"/>
  <c r="K38" i="7"/>
  <c r="J38" i="7"/>
  <c r="L37" i="7"/>
  <c r="K37" i="7"/>
  <c r="J37" i="7"/>
  <c r="L36" i="7"/>
  <c r="K36" i="7"/>
  <c r="J36" i="7"/>
  <c r="L35" i="7"/>
  <c r="K35" i="7"/>
  <c r="J35" i="7"/>
  <c r="L34" i="7"/>
  <c r="K34" i="7"/>
  <c r="J34" i="7"/>
  <c r="L33" i="7"/>
  <c r="K33" i="7"/>
  <c r="J33" i="7"/>
  <c r="L32" i="7"/>
  <c r="K32" i="7"/>
  <c r="J32" i="7"/>
  <c r="L31" i="7"/>
  <c r="K31" i="7"/>
  <c r="J31" i="7"/>
  <c r="L30" i="7"/>
  <c r="K30" i="7"/>
  <c r="J30" i="7"/>
  <c r="L29" i="7"/>
  <c r="K29" i="7"/>
  <c r="J29" i="7"/>
  <c r="L28" i="7"/>
  <c r="K28" i="7"/>
  <c r="J28" i="7"/>
  <c r="L27" i="7"/>
  <c r="K27" i="7"/>
  <c r="J27" i="7"/>
  <c r="L26" i="7"/>
  <c r="K26" i="7"/>
  <c r="J26" i="7"/>
  <c r="L25" i="7"/>
  <c r="K25" i="7"/>
  <c r="J25" i="7"/>
  <c r="L24" i="7"/>
  <c r="K24" i="7"/>
  <c r="J24" i="7"/>
  <c r="L23" i="7"/>
  <c r="K23" i="7"/>
  <c r="J23" i="7"/>
  <c r="L22" i="7"/>
  <c r="K22" i="7"/>
  <c r="J22" i="7"/>
  <c r="L21" i="7"/>
  <c r="K21" i="7"/>
  <c r="J21" i="7"/>
  <c r="L20" i="7"/>
  <c r="K20" i="7"/>
  <c r="J20" i="7"/>
  <c r="L19" i="7"/>
  <c r="K19" i="7"/>
  <c r="J19" i="7"/>
  <c r="L18" i="7"/>
  <c r="K18" i="7"/>
  <c r="J18" i="7"/>
  <c r="L17" i="7"/>
  <c r="K17" i="7"/>
  <c r="J17" i="7"/>
  <c r="L16" i="7"/>
  <c r="K16" i="7"/>
  <c r="J16" i="7"/>
  <c r="L15" i="7"/>
  <c r="K15" i="7"/>
  <c r="J15" i="7"/>
  <c r="L14" i="7"/>
  <c r="K14" i="7"/>
  <c r="J14" i="7"/>
  <c r="L13" i="7"/>
  <c r="K13" i="7"/>
  <c r="J13" i="7"/>
  <c r="L12" i="7"/>
  <c r="K12" i="7"/>
  <c r="J12" i="7"/>
  <c r="L11" i="7"/>
  <c r="K11" i="7"/>
  <c r="J11" i="7"/>
  <c r="L10" i="7"/>
  <c r="K10" i="7"/>
  <c r="J10" i="7"/>
  <c r="L9" i="7"/>
  <c r="K9" i="7"/>
  <c r="J9" i="7"/>
  <c r="L8" i="7"/>
  <c r="K8" i="7"/>
  <c r="J8" i="7"/>
  <c r="K7" i="7"/>
  <c r="L7" i="7" s="1"/>
  <c r="J7" i="7"/>
  <c r="K6" i="7"/>
  <c r="L6" i="7" s="1"/>
  <c r="J6" i="7"/>
  <c r="K5" i="7"/>
  <c r="L5" i="7" s="1"/>
  <c r="J5" i="7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L6" i="6"/>
  <c r="L5" i="6"/>
  <c r="J104" i="5"/>
  <c r="K104" i="5" s="1"/>
  <c r="J103" i="5"/>
  <c r="K103" i="5" s="1"/>
  <c r="J102" i="5"/>
  <c r="K102" i="5" s="1"/>
  <c r="J101" i="5"/>
  <c r="K101" i="5" s="1"/>
  <c r="J100" i="5"/>
  <c r="K100" i="5" s="1"/>
  <c r="J99" i="5"/>
  <c r="K99" i="5" s="1"/>
  <c r="J98" i="5"/>
  <c r="K98" i="5" s="1"/>
  <c r="J97" i="5"/>
  <c r="K97" i="5" s="1"/>
  <c r="J96" i="5"/>
  <c r="K96" i="5" s="1"/>
  <c r="J95" i="5"/>
  <c r="K95" i="5" s="1"/>
  <c r="J94" i="5"/>
  <c r="K94" i="5" s="1"/>
  <c r="J93" i="5"/>
  <c r="K93" i="5" s="1"/>
  <c r="J92" i="5"/>
  <c r="K92" i="5" s="1"/>
  <c r="J91" i="5"/>
  <c r="K91" i="5" s="1"/>
  <c r="J90" i="5"/>
  <c r="K90" i="5" s="1"/>
  <c r="J89" i="5"/>
  <c r="K89" i="5" s="1"/>
  <c r="J88" i="5"/>
  <c r="K88" i="5" s="1"/>
  <c r="J87" i="5"/>
  <c r="K87" i="5" s="1"/>
  <c r="J86" i="5"/>
  <c r="K86" i="5" s="1"/>
  <c r="J85" i="5"/>
  <c r="K85" i="5" s="1"/>
  <c r="J84" i="5"/>
  <c r="K84" i="5" s="1"/>
  <c r="J83" i="5"/>
  <c r="K83" i="5" s="1"/>
  <c r="J82" i="5"/>
  <c r="K82" i="5" s="1"/>
  <c r="J81" i="5"/>
  <c r="K81" i="5" s="1"/>
  <c r="J80" i="5"/>
  <c r="K80" i="5" s="1"/>
  <c r="J79" i="5"/>
  <c r="K79" i="5" s="1"/>
  <c r="J78" i="5"/>
  <c r="K78" i="5" s="1"/>
  <c r="J77" i="5"/>
  <c r="K77" i="5" s="1"/>
  <c r="J76" i="5"/>
  <c r="K76" i="5" s="1"/>
  <c r="J75" i="5"/>
  <c r="K75" i="5" s="1"/>
  <c r="J74" i="5"/>
  <c r="K74" i="5" s="1"/>
  <c r="J73" i="5"/>
  <c r="K73" i="5" s="1"/>
  <c r="J72" i="5"/>
  <c r="K72" i="5" s="1"/>
  <c r="J71" i="5"/>
  <c r="K71" i="5" s="1"/>
  <c r="J70" i="5"/>
  <c r="K70" i="5" s="1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J63" i="5"/>
  <c r="K63" i="5" s="1"/>
  <c r="J62" i="5"/>
  <c r="K62" i="5" s="1"/>
  <c r="J61" i="5"/>
  <c r="K61" i="5" s="1"/>
  <c r="J60" i="5"/>
  <c r="K60" i="5" s="1"/>
  <c r="J59" i="5"/>
  <c r="K59" i="5" s="1"/>
  <c r="J58" i="5"/>
  <c r="K58" i="5" s="1"/>
  <c r="J57" i="5"/>
  <c r="K57" i="5" s="1"/>
  <c r="J56" i="5"/>
  <c r="K56" i="5" s="1"/>
  <c r="J55" i="5"/>
  <c r="K55" i="5" s="1"/>
  <c r="J54" i="5"/>
  <c r="K54" i="5" s="1"/>
  <c r="J53" i="5"/>
  <c r="K53" i="5" s="1"/>
  <c r="J52" i="5"/>
  <c r="K52" i="5" s="1"/>
  <c r="J51" i="5"/>
  <c r="K51" i="5" s="1"/>
  <c r="J50" i="5"/>
  <c r="K50" i="5" s="1"/>
  <c r="J49" i="5"/>
  <c r="K49" i="5" s="1"/>
  <c r="J48" i="5"/>
  <c r="K48" i="5" s="1"/>
  <c r="J47" i="5"/>
  <c r="K47" i="5" s="1"/>
  <c r="J46" i="5"/>
  <c r="K46" i="5" s="1"/>
  <c r="J45" i="5"/>
  <c r="K45" i="5" s="1"/>
  <c r="J44" i="5"/>
  <c r="K44" i="5" s="1"/>
  <c r="J43" i="5"/>
  <c r="K43" i="5" s="1"/>
  <c r="J42" i="5"/>
  <c r="K42" i="5" s="1"/>
  <c r="J41" i="5"/>
  <c r="K41" i="5" s="1"/>
  <c r="J40" i="5"/>
  <c r="K40" i="5" s="1"/>
  <c r="J39" i="5"/>
  <c r="K39" i="5" s="1"/>
  <c r="J38" i="5"/>
  <c r="K38" i="5" s="1"/>
  <c r="J37" i="5"/>
  <c r="K37" i="5" s="1"/>
  <c r="J36" i="5"/>
  <c r="K36" i="5" s="1"/>
  <c r="J35" i="5"/>
  <c r="K35" i="5" s="1"/>
  <c r="J34" i="5"/>
  <c r="K34" i="5" s="1"/>
  <c r="J33" i="5"/>
  <c r="K33" i="5" s="1"/>
  <c r="J32" i="5"/>
  <c r="K32" i="5" s="1"/>
  <c r="J31" i="5"/>
  <c r="K31" i="5" s="1"/>
  <c r="J30" i="5"/>
  <c r="K30" i="5" s="1"/>
  <c r="J29" i="5"/>
  <c r="K29" i="5" s="1"/>
  <c r="J28" i="5"/>
  <c r="K28" i="5" s="1"/>
  <c r="J27" i="5"/>
  <c r="K27" i="5" s="1"/>
  <c r="J26" i="5"/>
  <c r="K26" i="5" s="1"/>
  <c r="J25" i="5"/>
  <c r="K25" i="5" s="1"/>
  <c r="J24" i="5"/>
  <c r="K24" i="5" s="1"/>
  <c r="J23" i="5"/>
  <c r="K23" i="5" s="1"/>
  <c r="J22" i="5"/>
  <c r="K22" i="5" s="1"/>
  <c r="J21" i="5"/>
  <c r="K21" i="5" s="1"/>
  <c r="J20" i="5"/>
  <c r="K20" i="5" s="1"/>
  <c r="J19" i="5"/>
  <c r="K19" i="5" s="1"/>
  <c r="J18" i="5"/>
  <c r="K18" i="5" s="1"/>
  <c r="J17" i="5"/>
  <c r="K17" i="5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K104" i="4"/>
  <c r="L104" i="4" s="1"/>
  <c r="K103" i="4"/>
  <c r="L103" i="4" s="1"/>
  <c r="K102" i="4"/>
  <c r="L102" i="4" s="1"/>
  <c r="K101" i="4"/>
  <c r="L101" i="4" s="1"/>
  <c r="K100" i="4"/>
  <c r="L100" i="4" s="1"/>
  <c r="K99" i="4"/>
  <c r="L99" i="4" s="1"/>
  <c r="K98" i="4"/>
  <c r="L98" i="4" s="1"/>
  <c r="K97" i="4"/>
  <c r="L97" i="4" s="1"/>
  <c r="K96" i="4"/>
  <c r="L96" i="4" s="1"/>
  <c r="K95" i="4"/>
  <c r="L95" i="4" s="1"/>
  <c r="K94" i="4"/>
  <c r="L94" i="4" s="1"/>
  <c r="K93" i="4"/>
  <c r="L93" i="4" s="1"/>
  <c r="K92" i="4"/>
  <c r="L92" i="4" s="1"/>
  <c r="K91" i="4"/>
  <c r="L91" i="4" s="1"/>
  <c r="K90" i="4"/>
  <c r="L90" i="4" s="1"/>
  <c r="K89" i="4"/>
  <c r="L89" i="4" s="1"/>
  <c r="K88" i="4"/>
  <c r="L88" i="4" s="1"/>
  <c r="K87" i="4"/>
  <c r="L87" i="4" s="1"/>
  <c r="K86" i="4"/>
  <c r="L86" i="4" s="1"/>
  <c r="K85" i="4"/>
  <c r="L85" i="4" s="1"/>
  <c r="K84" i="4"/>
  <c r="L84" i="4" s="1"/>
  <c r="K83" i="4"/>
  <c r="L83" i="4" s="1"/>
  <c r="K82" i="4"/>
  <c r="L82" i="4" s="1"/>
  <c r="K81" i="4"/>
  <c r="L81" i="4" s="1"/>
  <c r="K80" i="4"/>
  <c r="L80" i="4" s="1"/>
  <c r="K79" i="4"/>
  <c r="L79" i="4" s="1"/>
  <c r="K78" i="4"/>
  <c r="L78" i="4" s="1"/>
  <c r="K77" i="4"/>
  <c r="L77" i="4" s="1"/>
  <c r="K76" i="4"/>
  <c r="L76" i="4" s="1"/>
  <c r="K75" i="4"/>
  <c r="L75" i="4" s="1"/>
  <c r="K74" i="4"/>
  <c r="L74" i="4" s="1"/>
  <c r="K73" i="4"/>
  <c r="L73" i="4" s="1"/>
  <c r="K72" i="4"/>
  <c r="L72" i="4" s="1"/>
  <c r="K71" i="4"/>
  <c r="L71" i="4" s="1"/>
  <c r="K70" i="4"/>
  <c r="L70" i="4" s="1"/>
  <c r="K69" i="4"/>
  <c r="L69" i="4" s="1"/>
  <c r="K68" i="4"/>
  <c r="L68" i="4" s="1"/>
  <c r="K67" i="4"/>
  <c r="L67" i="4" s="1"/>
  <c r="K66" i="4"/>
  <c r="L66" i="4" s="1"/>
  <c r="K65" i="4"/>
  <c r="L65" i="4" s="1"/>
  <c r="K64" i="4"/>
  <c r="L64" i="4" s="1"/>
  <c r="K63" i="4"/>
  <c r="L63" i="4" s="1"/>
  <c r="K62" i="4"/>
  <c r="L62" i="4" s="1"/>
  <c r="K61" i="4"/>
  <c r="L61" i="4" s="1"/>
  <c r="K60" i="4"/>
  <c r="L60" i="4" s="1"/>
  <c r="K59" i="4"/>
  <c r="L59" i="4" s="1"/>
  <c r="K58" i="4"/>
  <c r="L58" i="4" s="1"/>
  <c r="K57" i="4"/>
  <c r="L57" i="4" s="1"/>
  <c r="K56" i="4"/>
  <c r="L56" i="4" s="1"/>
  <c r="K55" i="4"/>
  <c r="L55" i="4" s="1"/>
  <c r="K54" i="4"/>
  <c r="L54" i="4" s="1"/>
  <c r="K53" i="4"/>
  <c r="L53" i="4" s="1"/>
  <c r="K52" i="4"/>
  <c r="L52" i="4" s="1"/>
  <c r="K51" i="4"/>
  <c r="L51" i="4" s="1"/>
  <c r="K50" i="4"/>
  <c r="L50" i="4" s="1"/>
  <c r="K49" i="4"/>
  <c r="L49" i="4" s="1"/>
  <c r="K48" i="4"/>
  <c r="L48" i="4" s="1"/>
  <c r="K47" i="4"/>
  <c r="L47" i="4" s="1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K10" i="4"/>
  <c r="L10" i="4" s="1"/>
  <c r="K9" i="4"/>
  <c r="L9" i="4" s="1"/>
  <c r="K8" i="4"/>
  <c r="L8" i="4" s="1"/>
  <c r="K7" i="4"/>
  <c r="L7" i="4" s="1"/>
  <c r="K6" i="4"/>
  <c r="K5" i="4"/>
  <c r="B7" i="11" l="1"/>
  <c r="L11" i="4"/>
  <c r="K7" i="6"/>
  <c r="G7" i="10" s="1"/>
  <c r="H7" i="10" s="1"/>
  <c r="L6" i="4"/>
  <c r="G6" i="10"/>
  <c r="H6" i="10" s="1"/>
  <c r="K6" i="6"/>
  <c r="B10" i="11"/>
  <c r="B8" i="11"/>
  <c r="K5" i="6"/>
  <c r="G5" i="10" s="1"/>
  <c r="L5" i="4"/>
  <c r="B6" i="11"/>
  <c r="H5" i="10" l="1"/>
  <c r="B9" i="11"/>
  <c r="F6" i="11"/>
  <c r="F5" i="11"/>
  <c r="F7" i="11"/>
  <c r="F8" i="11"/>
  <c r="G5" i="11" l="1"/>
  <c r="F12" i="11"/>
  <c r="F13" i="11"/>
  <c r="F14" i="11"/>
  <c r="G6" i="11"/>
  <c r="G7" i="11"/>
  <c r="G8" i="11"/>
  <c r="G13" i="11" l="1"/>
  <c r="G12" i="11"/>
  <c r="G14" i="11"/>
</calcChain>
</file>

<file path=xl/sharedStrings.xml><?xml version="1.0" encoding="utf-8"?>
<sst xmlns="http://schemas.openxmlformats.org/spreadsheetml/2006/main" count="603" uniqueCount="448">
  <si>
    <t>Справочники для выпадающих списков и шкал</t>
  </si>
  <si>
    <t>Используются на расчетных листах для унификации классификации, оценок и статусов.</t>
  </si>
  <si>
    <t>Шкала_1_5</t>
  </si>
  <si>
    <t>Сегменты</t>
  </si>
  <si>
    <t>Тип_проблемы</t>
  </si>
  <si>
    <t>Тип_ценности</t>
  </si>
  <si>
    <t>Тип_ЦП</t>
  </si>
  <si>
    <t>Тип_цифрового_товара</t>
  </si>
  <si>
    <t>Единица_монетизации</t>
  </si>
  <si>
    <t>Периодичность</t>
  </si>
  <si>
    <t>Статус</t>
  </si>
  <si>
    <t>Да_нет</t>
  </si>
  <si>
    <t>Элемент_БМ</t>
  </si>
  <si>
    <t>Решение_проверки</t>
  </si>
  <si>
    <t>Приоритет</t>
  </si>
  <si>
    <t>B2B</t>
  </si>
  <si>
    <t>Функциональная</t>
  </si>
  <si>
    <t>Экономия времени</t>
  </si>
  <si>
    <t>Устранение боли</t>
  </si>
  <si>
    <t>Веб-сервис</t>
  </si>
  <si>
    <t>Пользователь</t>
  </si>
  <si>
    <t>Разово</t>
  </si>
  <si>
    <t>Черновик</t>
  </si>
  <si>
    <t>Да</t>
  </si>
  <si>
    <t>Клиентские сегменты</t>
  </si>
  <si>
    <t>Проходят проверку</t>
  </si>
  <si>
    <t>Критический</t>
  </si>
  <si>
    <t>B2C</t>
  </si>
  <si>
    <t>Экономическая</t>
  </si>
  <si>
    <t>Снижение затрат</t>
  </si>
  <si>
    <t>Усиление результата</t>
  </si>
  <si>
    <t>Мобильное приложение</t>
  </si>
  <si>
    <t>Рабочее место</t>
  </si>
  <si>
    <t>Ежемесячно</t>
  </si>
  <si>
    <t>Нужно дополнить</t>
  </si>
  <si>
    <t>Нет</t>
  </si>
  <si>
    <t>Ценностное предложение</t>
  </si>
  <si>
    <t>Требуется доработка</t>
  </si>
  <si>
    <t>Высокий</t>
  </si>
  <si>
    <t>B2B2C</t>
  </si>
  <si>
    <t>Организационная</t>
  </si>
  <si>
    <t>Снижение риска</t>
  </si>
  <si>
    <t>Повышение удобства</t>
  </si>
  <si>
    <t>Личный кабинет</t>
  </si>
  <si>
    <t>Транзакция</t>
  </si>
  <si>
    <t>Ежеквартально</t>
  </si>
  <si>
    <t>Готово</t>
  </si>
  <si>
    <t>Каналы</t>
  </si>
  <si>
    <t>Недостаточно данных</t>
  </si>
  <si>
    <t>Средний</t>
  </si>
  <si>
    <t>Государственный сектор</t>
  </si>
  <si>
    <t>Информационная</t>
  </si>
  <si>
    <t>Повышение точности</t>
  </si>
  <si>
    <t>Автоматизация процесса</t>
  </si>
  <si>
    <t>Платформа</t>
  </si>
  <si>
    <t>Проект</t>
  </si>
  <si>
    <t>Ежегодно</t>
  </si>
  <si>
    <t>Отклонить</t>
  </si>
  <si>
    <t>Отношения с клиентами</t>
  </si>
  <si>
    <t>Низкий</t>
  </si>
  <si>
    <t>Смешанный сегмент</t>
  </si>
  <si>
    <t>Эмоциональная</t>
  </si>
  <si>
    <t>Рост дохода</t>
  </si>
  <si>
    <t>Новая возможность</t>
  </si>
  <si>
    <t>Расширение/модуль</t>
  </si>
  <si>
    <t>Объем данных</t>
  </si>
  <si>
    <t>По использованию</t>
  </si>
  <si>
    <t>Потоки доходов</t>
  </si>
  <si>
    <t>Техническая</t>
  </si>
  <si>
    <t>Контроль и прозрачность</t>
  </si>
  <si>
    <t>Дифференциация</t>
  </si>
  <si>
    <t>Прикладной программный интерфейс</t>
  </si>
  <si>
    <t>Операция</t>
  </si>
  <si>
    <t>Подписка</t>
  </si>
  <si>
    <t>Ключевые ресурсы</t>
  </si>
  <si>
    <t>Правовая/регуляторная</t>
  </si>
  <si>
    <t>Доступность</t>
  </si>
  <si>
    <t>Снижение барьера входа</t>
  </si>
  <si>
    <t>Цифровой контент</t>
  </si>
  <si>
    <t>Пакет функций</t>
  </si>
  <si>
    <t>Комиссия</t>
  </si>
  <si>
    <t>Ключевые виды деятельности</t>
  </si>
  <si>
    <t>Персонализация</t>
  </si>
  <si>
    <t>Аналитический сервис</t>
  </si>
  <si>
    <t>Результат/отчет</t>
  </si>
  <si>
    <t>Смешанная модель</t>
  </si>
  <si>
    <t>Ключевые партнеры</t>
  </si>
  <si>
    <t>Маркетплейс</t>
  </si>
  <si>
    <t>Доступ к аудитории</t>
  </si>
  <si>
    <t>Структура затрат</t>
  </si>
  <si>
    <t>Excel-шаблон к методике формулирования ценностного предложения и цифрового товара</t>
  </si>
  <si>
    <t>Книга предназначена для перехода от анализа проблем и конкурентов к проверяемому ценностному предложению, цифровому товару и единице монетизации.</t>
  </si>
  <si>
    <t>Раздел</t>
  </si>
  <si>
    <t>Что заполняется</t>
  </si>
  <si>
    <t>Результат</t>
  </si>
  <si>
    <t>1. Исходные данные</t>
  </si>
  <si>
    <t>Фиксируются источники: отзывы, сайты конкурентов, страницы тарифов, описания функций, кейсы, часто задаваемые вопросы.</t>
  </si>
  <si>
    <t>Контролируемая база доказательств.</t>
  </si>
  <si>
    <t>2. Проблемы клиентов</t>
  </si>
  <si>
    <t>Каждая проблема оценивается по частоте, интенсивности, срочности, незакрытости конкурентами, готовности платить и доказательности.</t>
  </si>
  <si>
    <t>Рейтинг проблем для выбора опорной проблемы.</t>
  </si>
  <si>
    <t>3. Конкурентные решения</t>
  </si>
  <si>
    <t>По каждому конкуренту фиксируется, как он закрывает проблему и насколько убедительно оформляет свое решение.</t>
  </si>
  <si>
    <t>Понимание рыночного стандарта и пробелов.</t>
  </si>
  <si>
    <t>4. Ценностные предложения</t>
  </si>
  <si>
    <t>Для выбранных проблем формулируется обещаемый результат, разрыв рынка и итоговая формулировка ценностного предложения.</t>
  </si>
  <si>
    <t>Готовая формула ценности для клиента.</t>
  </si>
  <si>
    <t>5. Цифровой товар</t>
  </si>
  <si>
    <t>Ценностное предложение переводится в состав цифрового товара: функции, данные, сценарии использования и условия доступа.</t>
  </si>
  <si>
    <t>Проверяемое описание товара как носителя ценности.</t>
  </si>
  <si>
    <t>6. Единица монетизации</t>
  </si>
  <si>
    <t>Определяется, за что именно платит клиент: пользователь, доступ, транзакция, операция, объем данных, результат, пакет функций.</t>
  </si>
  <si>
    <t>Экономическая единица бизнес-модели.</t>
  </si>
  <si>
    <t>7. Связь с бизнес-моделью</t>
  </si>
  <si>
    <t>Проверяется, как товар и ценность связаны с клиентами, каналами, отношениями, ресурсами, доходами и затратами.</t>
  </si>
  <si>
    <t>Согласованная бизнес-модель.</t>
  </si>
  <si>
    <t>8. Проверка связности</t>
  </si>
  <si>
    <t>Оценивается, не разорвана ли цепочка: проблема → ценность → товар → монетизация → бизнес-модель.</t>
  </si>
  <si>
    <t>Итоговое решение о готовности концепции.</t>
  </si>
  <si>
    <t>Исходные данные анализа</t>
  </si>
  <si>
    <t>Единый реестр источников, на основании которых выделяются проблемы, конкурентные решения и признаки ценности.</t>
  </si>
  <si>
    <t>ID источника</t>
  </si>
  <si>
    <t>Дата сбора</t>
  </si>
  <si>
    <t>Тип источника</t>
  </si>
  <si>
    <t>Площадка/сайт</t>
  </si>
  <si>
    <t>Компания/товар</t>
  </si>
  <si>
    <t>Ссылка</t>
  </si>
  <si>
    <t>Фрагмент факта</t>
  </si>
  <si>
    <t>Какая проблема/решение подтверждается</t>
  </si>
  <si>
    <t>Достоверность 1–5</t>
  </si>
  <si>
    <t>Комментарий</t>
  </si>
  <si>
    <t>SRC-001</t>
  </si>
  <si>
    <t>Отзывы</t>
  </si>
  <si>
    <t>SRC-002</t>
  </si>
  <si>
    <t>Сайт конкурента</t>
  </si>
  <si>
    <t>Анализ проблем клиентов</t>
  </si>
  <si>
    <t>Приоритет проблемы рассчитывается по частоте, интенсивности, срочности, незакрытости конкурентами, готовности платить и доказательности.</t>
  </si>
  <si>
    <t>ID проблемы</t>
  </si>
  <si>
    <t>Сегмент</t>
  </si>
  <si>
    <t>Тип проблемы</t>
  </si>
  <si>
    <t>Формулировка проблемы клиента</t>
  </si>
  <si>
    <t>Частота 1–5</t>
  </si>
  <si>
    <t>Интенсивность 1–5</t>
  </si>
  <si>
    <t>Срочность 1–5</t>
  </si>
  <si>
    <t>Незакрытость конкурентами 1–5</t>
  </si>
  <si>
    <t>Готовность платить 1–5</t>
  </si>
  <si>
    <t>Доказательность 1–5</t>
  </si>
  <si>
    <t>Индекс проблемы</t>
  </si>
  <si>
    <t>P-001</t>
  </si>
  <si>
    <t>P-002</t>
  </si>
  <si>
    <t>Анализ конкурентных решений</t>
  </si>
  <si>
    <t>Лист показывает, какие проблемы конкуренты уже закрывают, где находится рыночный стандарт и где сохраняется пространство для дифференциации.</t>
  </si>
  <si>
    <t>Компания</t>
  </si>
  <si>
    <t>Сайт</t>
  </si>
  <si>
    <t>Как конкурент решает проблему</t>
  </si>
  <si>
    <t>Покрытие проблемы 1–5</t>
  </si>
  <si>
    <t>Ясность обещания 1–5</t>
  </si>
  <si>
    <t>Полнота товара 1–5</t>
  </si>
  <si>
    <t>Удобство доступа 1–5</t>
  </si>
  <si>
    <t>Индекс силы решения</t>
  </si>
  <si>
    <t>Уровень решения</t>
  </si>
  <si>
    <t>Формулирование ценностного предложения</t>
  </si>
  <si>
    <t>Ценностное предложение связывает опорную проблему клиента, конкурентный пробел и обещаемый измеримый результат.</t>
  </si>
  <si>
    <t>ID ЦП</t>
  </si>
  <si>
    <t>Опорная проблема</t>
  </si>
  <si>
    <t>Конкурентный пробел</t>
  </si>
  <si>
    <t>Обещаемый результат</t>
  </si>
  <si>
    <t>Механизм создания ценности</t>
  </si>
  <si>
    <t>Формулировка ценностного предложения</t>
  </si>
  <si>
    <t>Тип ЦП</t>
  </si>
  <si>
    <t>Тип ценности</t>
  </si>
  <si>
    <t>VP-001</t>
  </si>
  <si>
    <t>Описание цифрового товара как носителя ценности</t>
  </si>
  <si>
    <t>На листе ценностное предложение переводится в состав цифрового товара, функции, пользовательский сценарий и условия доступа.</t>
  </si>
  <si>
    <t>ID товара</t>
  </si>
  <si>
    <t>Название цифрового товара</t>
  </si>
  <si>
    <t>Тип цифрового товара</t>
  </si>
  <si>
    <t>Клиентская задача</t>
  </si>
  <si>
    <t>Базовая функция</t>
  </si>
  <si>
    <t>Расширенные функции</t>
  </si>
  <si>
    <t>Данные/алгоритмы как часть ценности</t>
  </si>
  <si>
    <t>Условия доступа и использования</t>
  </si>
  <si>
    <t>Носитель ценности</t>
  </si>
  <si>
    <t>Индекс товарной оформленности</t>
  </si>
  <si>
    <t>PR-001</t>
  </si>
  <si>
    <t>Определение единицы монетизации</t>
  </si>
  <si>
    <t>Единица монетизации показывает, за что именно платит клиент и как цифровой товар становится источником выручки.</t>
  </si>
  <si>
    <t>ID монетизации</t>
  </si>
  <si>
    <t>Единица монетизации</t>
  </si>
  <si>
    <t>Что покупает клиент</t>
  </si>
  <si>
    <t>Базовая цена</t>
  </si>
  <si>
    <t>Кол-во единиц в месяц</t>
  </si>
  <si>
    <t>Расчетная выручка</t>
  </si>
  <si>
    <t>Обоснование готовности платить</t>
  </si>
  <si>
    <t>Связь с ценностью 1–5</t>
  </si>
  <si>
    <t>Простота тарификации 1–5</t>
  </si>
  <si>
    <t>Повторяемость 1–5</t>
  </si>
  <si>
    <t>Монетизационный потенциал</t>
  </si>
  <si>
    <t>M-001</t>
  </si>
  <si>
    <t>Связь цифрового товара с бизнес-моделью</t>
  </si>
  <si>
    <t>Лист фиксирует, как ценностное предложение, цифровой товар и монетизация превращаются в элементы бизнес-модели.</t>
  </si>
  <si>
    <t>ID модели</t>
  </si>
  <si>
    <t>Индекс полноты бизнес-модели</t>
  </si>
  <si>
    <t>BM-001</t>
  </si>
  <si>
    <t>Проверка связности: проблема → ценность → товар → монетизация → бизнес-модель</t>
  </si>
  <si>
    <t>Итоговая проверка нужна для выявления разрывов между выбранной проблемой, обещанной ценностью, цифровым товаром и экономикой бизнес-модели.</t>
  </si>
  <si>
    <t>ID проверки</t>
  </si>
  <si>
    <t>Индекс связности</t>
  </si>
  <si>
    <t>Решение</t>
  </si>
  <si>
    <t>Главный разрыв</t>
  </si>
  <si>
    <t>Что доработать</t>
  </si>
  <si>
    <t>CHK-001</t>
  </si>
  <si>
    <t>Сводный дашборд разработки ценностного предложения и цифрового товара</t>
  </si>
  <si>
    <t>Расчетные показатели обновляются после заполнения рабочих листов.</t>
  </si>
  <si>
    <t>Показатель</t>
  </si>
  <si>
    <t>Значение</t>
  </si>
  <si>
    <t>Интерпретация</t>
  </si>
  <si>
    <t>Приоритет проблемы</t>
  </si>
  <si>
    <t>Количество</t>
  </si>
  <si>
    <t>Доля</t>
  </si>
  <si>
    <t>Количество выявленных проблем</t>
  </si>
  <si>
    <t>Объем базы проблем для выбора опорной проблемы.</t>
  </si>
  <si>
    <t>Максимальный индекс проблемы</t>
  </si>
  <si>
    <t>Наиболее значимая проблема по текущей оценке.</t>
  </si>
  <si>
    <t>Готовых ценностных предложений</t>
  </si>
  <si>
    <t>Количество формулировок, прошедших минимальную проверку полноты.</t>
  </si>
  <si>
    <t>Готовых цифровых товаров</t>
  </si>
  <si>
    <t>Количество описаний товара с достаточной оформленностью.</t>
  </si>
  <si>
    <t>Средний индекс связности</t>
  </si>
  <si>
    <t>Согласованность цепочки проблема → ценность → товар → монетизация → бизнес-модель.</t>
  </si>
  <si>
    <t>Расчетная выручка по заполненным единицам</t>
  </si>
  <si>
    <t>Сумма расчетной месячной выручки по листу монетизации.</t>
  </si>
  <si>
    <t>Решение проверки</t>
  </si>
  <si>
    <t>plantuml.com</t>
  </si>
  <si>
    <t>PlantUML</t>
  </si>
  <si>
    <t>https://plantuml.com</t>
  </si>
  <si>
    <t>Бесплатный open-source DSL; цитата «No server. No tokens. No tracking»; UML, C4 частично; профилей IDEF0/IDEF3/DFD нет</t>
  </si>
  <si>
    <t>P-001: DaC-инструменты не покрывают структурные нотации</t>
  </si>
  <si>
    <t>ЛР5, разд. 2</t>
  </si>
  <si>
    <t>Описание функций</t>
  </si>
  <si>
    <t>mermaid.js.org</t>
  </si>
  <si>
    <t>Mermaid</t>
  </si>
  <si>
    <t>https://mermaid.js.org</t>
  </si>
  <si>
    <t>Типы: flowchart, sequence, class, state, ER, Gantt, pie, git-graph; нативный рендер в GitHub/GitLab/Notion; IDEF нет</t>
  </si>
  <si>
    <t>P-001, P-007: рыночный стандарт «текст → диаграмма», нет IDEF/DFD</t>
  </si>
  <si>
    <t>SRC-003</t>
  </si>
  <si>
    <t>Тарифы</t>
  </si>
  <si>
    <t>eraser.io/pricing</t>
  </si>
  <si>
    <t>Eraser.io</t>
  </si>
  <si>
    <t>https://www.eraser.io/pricing</t>
  </si>
  <si>
    <t>Free $0 → Starter $15–20 → Business $45–60 → Enterprise; AI-кредиты 3 → 40 → 250 → ∞</t>
  </si>
  <si>
    <t>Единица монетизации рынка: подписка за место + лимит AI</t>
  </si>
  <si>
    <t>SRC-004</t>
  </si>
  <si>
    <t>eraser.io/ai-diagrams</t>
  </si>
  <si>
    <t>https://www.eraser.io/product/ai-diagrams</t>
  </si>
  <si>
    <t>Diagram-as-code + AI-генерация + канвас; история версий 90 дней → безлимит по тарифу</t>
  </si>
  <si>
    <t>P-003, P-005: история и AI как платные признаки</t>
  </si>
  <si>
    <t>ЛР5, разд. 3</t>
  </si>
  <si>
    <t>SRC-005</t>
  </si>
  <si>
    <t>d2lang.com</t>
  </si>
  <si>
    <t>D2</t>
  </si>
  <si>
    <t>https://d2lang.com</t>
  </si>
  <si>
    <t>«A modern language that turns text to diagrams»; open-source, донаты Hack Club; UML class/sequence</t>
  </si>
  <si>
    <t>P-001: DaC без IDEF/DFD</t>
  </si>
  <si>
    <t>SRC-006</t>
  </si>
  <si>
    <t>drawio.com</t>
  </si>
  <si>
    <t>draw.io</t>
  </si>
  <si>
    <t>https://www.drawio.com</t>
  </si>
  <si>
    <t>«No account required. No credit card»; open source Apache 2.0; GUI-ввод, проверка правил нотаций не заявлена</t>
  </si>
  <si>
    <t>P-001: графический редактор не проверяет правила нотации</t>
  </si>
  <si>
    <t>Отсутствие функции — косвенный вывод</t>
  </si>
  <si>
    <t>SRC-007</t>
  </si>
  <si>
    <t>Документация</t>
  </si>
  <si>
    <t>drawio.com/integrations</t>
  </si>
  <si>
    <t>https://www.drawio.com/integrations</t>
  </si>
  <si>
    <t>Интеграции: Google Drive, OneDrive, Confluence/Jira, GitHub, VS Code, Notion</t>
  </si>
  <si>
    <t>Рыночный стандарт: хранение во внешних сервисах</t>
  </si>
  <si>
    <t>SRC-008</t>
  </si>
  <si>
    <t>Сообщество</t>
  </si>
  <si>
    <t>SimilarWeb</t>
  </si>
  <si>
    <t>https://www.similarweb.com/website/plantuml.com</t>
  </si>
  <si>
    <t>~507 тыс. визитов за период; Россия — 9,07 % трафика (1-е место среди стран)</t>
  </si>
  <si>
    <t>Русскоязычная аудитория DaC существует</t>
  </si>
  <si>
    <t>ЛР2-3, разд. 2</t>
  </si>
  <si>
    <t>SRC-009</t>
  </si>
  <si>
    <t>Eraser.io / draw.io</t>
  </si>
  <si>
    <t>https://www.similarweb.com</t>
  </si>
  <si>
    <t>eraser.io — 678,5 тыс. визитов; app.diagrams.net — 7,8 млн визитов</t>
  </si>
  <si>
    <t>Масштаб спроса на диаграммные инструменты</t>
  </si>
  <si>
    <t>SRC-010</t>
  </si>
  <si>
    <t>Google Trends</t>
  </si>
  <si>
    <t>https://trends.google.com</t>
  </si>
  <si>
    <t>Индекс PlantUML 16 → 53 (19.09.2021 → 08.12.2024), рост ≈231 %; запрос «text to diagram ai» — Breakout</t>
  </si>
  <si>
    <t>Растущий спрос на «текст → диаграмма» и AI</t>
  </si>
  <si>
    <t>ЛР1, разд. 3</t>
  </si>
  <si>
    <t>SRC-011</t>
  </si>
  <si>
    <t>Обзор аналогов</t>
  </si>
  <si>
    <t>Ramus / BPwin</t>
  </si>
  <si>
    <t>E:\VisualDSL-Platform\PROJECT_DOCUMENTATION\06_market_and_extras\00-competitive-analysis.md</t>
  </si>
  <si>
    <t>IDEF0/IDEF1X/IDEF3 в настольных GUI-средствах; устаревший UX; используются в курсах СНГ</t>
  </si>
  <si>
    <t>P-004: специализированные CASE ограничены</t>
  </si>
  <si>
    <t>Вторичный источник проекта</t>
  </si>
  <si>
    <t>SRC-012</t>
  </si>
  <si>
    <t>Концепция NotaCode</t>
  </si>
  <si>
    <t>NotaCode</t>
  </si>
  <si>
    <t>E:\NotaCode\docs\business\01-project-concept.md</t>
  </si>
  <si>
    <t>Проблемы P-01…P-06: ручная раскладка, нет IDEF в DaC, правила не проверяются, CASE ограничены, нет связи текст↔изображение, нет истории</t>
  </si>
  <si>
    <t>Перечень проблем для карты проблем</t>
  </si>
  <si>
    <t>Внутренний источник; требует подтверждения отзывами</t>
  </si>
  <si>
    <t>SRC-013</t>
  </si>
  <si>
    <t>Пожелания к MVP (WL)</t>
  </si>
  <si>
    <t>E:\NotaCode\docs\source-materials\user-wishlist-mvp.md</t>
  </si>
  <si>
    <t>Требования представителя S-01: подсветка код↔элемент, валидация, шаблоны, AI 4 режима, сохранение БД/устройство/Git/Drive</t>
  </si>
  <si>
    <t>Потребности сегмента S-01 (1 респондент)</t>
  </si>
  <si>
    <t>Единичное наблюдение</t>
  </si>
  <si>
    <t>SRC-014</t>
  </si>
  <si>
    <t>FAQ</t>
  </si>
  <si>
    <t>ЛР5: Кано и Левитт</t>
  </si>
  <si>
    <t>Рынок</t>
  </si>
  <si>
    <t>ЛР5, разд. 3–5</t>
  </si>
  <si>
    <t>Обязательные: DSL, браузерный рендер, GitHub; линейные: история версий; восхищающие: полный охват нотаций, AI</t>
  </si>
  <si>
    <t>Рыночный стандарт и зона отличия</t>
  </si>
  <si>
    <t>ЛР5</t>
  </si>
  <si>
    <t>SRC-015</t>
  </si>
  <si>
    <t>G2 / Capterra / Reddit / Habr</t>
  </si>
  <si>
    <t>draw.io, Lucidchart, PlantUML, Mermaid, Ramus</t>
  </si>
  <si>
    <t>🔲 ДОСНЯТЬ</t>
  </si>
  <si>
    <t>🔲 ДОСНЯТЬ: ≥30 отзывов/высказываний о ручной раскладке, проверке правил, IDEF/DFD</t>
  </si>
  <si>
    <t>Подтверждение P-001…P-008</t>
  </si>
  <si>
    <t>Требование методики: ≥30 отзывов</t>
  </si>
  <si>
    <t>SRC-016</t>
  </si>
  <si>
    <t>Опрос студентов (Google Forms)</t>
  </si>
  <si>
    <t>S-01</t>
  </si>
  <si>
    <t>🔲 ДОСНЯТЬ: опрос 20+ студентов ИИТ/ФКП: сколько времени уходит на диаграммы, были ли замечания по нотации</t>
  </si>
  <si>
    <t>Частота и последствия P-001</t>
  </si>
  <si>
    <t>План проверки гипотезы H-01</t>
  </si>
  <si>
    <t>Студент технической специальности (S-01) тратит часы на ручное построение диаграмм IDEF0/IDEF3/DFD/ERD/UML и получает замечания за нарушение правил нотации: графические редакторы не проверяют правила, а DaC-инструменты не поддерживают IDEF/DFD</t>
  </si>
  <si>
    <t>Опорная проблема (интегральная P-01+P-02+P-03 концепции)</t>
  </si>
  <si>
    <t>Аналитик (S-02) держит модели BPMN/IDEF0/DFD отдельно от требований в Git — модель и документация рассинхронизируются</t>
  </si>
  <si>
    <t>Сегмент Pro</t>
  </si>
  <si>
    <t>P-003</t>
  </si>
  <si>
    <t>Для диаграмм в бинарных/XML-файлах редакторов нет построчного diff, истории и отката</t>
  </si>
  <si>
    <t>Частично закрыто Eraser.io (платно)</t>
  </si>
  <si>
    <t>P-004</t>
  </si>
  <si>
    <t>Специализированные CASE-средства (Ramus, BPwin, Sparx EA) — настольные, платные, с устаревшим UX и без текстового представления</t>
  </si>
  <si>
    <t>P-005</t>
  </si>
  <si>
    <t>Новичку сложно начать писать диаграмму кодом: нет примеров и подсказок по синтаксису и правилам нотации</t>
  </si>
  <si>
    <t>Закрывается шаблонами, документацией, AI</t>
  </si>
  <si>
    <t>P-006</t>
  </si>
  <si>
    <t>Неизвестно, какая строка описания соответствует элементу изображения — трудно найти место ошибки</t>
  </si>
  <si>
    <t>Отличие D-03</t>
  </si>
  <si>
    <t>P-007</t>
  </si>
  <si>
    <t>Архитектору (S-03) приходится держать разные инструменты для разных нотаций и вручную переносить диаграммы между форматами</t>
  </si>
  <si>
    <t>Экспорт PlantUML/Mermaid/XMI/DDL</t>
  </si>
  <si>
    <t>P-008</t>
  </si>
  <si>
    <t>Преподаватель (S-04) вручную проверяет соблюдение правил нотаций в работах студентов</t>
  </si>
  <si>
    <t>Влияющее лицо для S-01</t>
  </si>
  <si>
    <t>Библиотеки фигур UML/IDEF0/BPMN, ручная раскладка; правила нотаций не проверяются</t>
  </si>
  <si>
    <t>Близкий конкурент (ЛР5: 67,5)</t>
  </si>
  <si>
    <t>UML из текста с авто-раскладкой; IDEF0/IDEF3/DFD не поддерживаются, правила UML не валидируются</t>
  </si>
  <si>
    <t>Прямой (ЛР5: 90,0)</t>
  </si>
  <si>
    <t>Flowchart/ER/class из текста в Markdown; нет IDEF/DFD</t>
  </si>
  <si>
    <t>https://www.eraser.io</t>
  </si>
  <si>
    <t>DaC + AI + канвас; нет IDEF/сетей Петри, правила нотаций не проверяются</t>
  </si>
  <si>
    <t>Прямой (ЛР5: 93,0)</t>
  </si>
  <si>
    <t>Декларативный DSL, 3 движка раскладки; нет структурных нотаций</t>
  </si>
  <si>
    <t>Близкий (ЛР5: 79,5)</t>
  </si>
  <si>
    <t>Ramus Educational</t>
  </si>
  <si>
    <t>—</t>
  </si>
  <si>
    <t>IDEF0/IDEF3 с правилами методологии, но GUI-десктоп, без текста и Git</t>
  </si>
  <si>
    <t>Специализированный CASE</t>
  </si>
  <si>
    <t>История версий 90 дней → безлимит на платных тарифах</t>
  </si>
  <si>
    <t>Платный признак</t>
  </si>
  <si>
    <t>История — только через внешний Git-репозиторий пользователя</t>
  </si>
  <si>
    <t>Версии через хранилище (Google Drive/Confluence), без построчного diff</t>
  </si>
  <si>
    <t>AI-генерация диаграммы по описанию снижает порог входа</t>
  </si>
  <si>
    <t>3 AI-диаграммы на Free</t>
  </si>
  <si>
    <t>Нативный рендер в GitHub/GitLab/Notion — один формат для документации</t>
  </si>
  <si>
    <t>Связи «текст ↔ элемент» нет (ввод графический)</t>
  </si>
  <si>
    <t>Ручное построение диаграмм строгих нотаций и замечания за нарушение правил</t>
  </si>
  <si>
    <t>draw.io не проверяет правила; PlantUML/Mermaid/D2/Eraser не поддерживают IDEF0/IDEF3/DFD; Ramus — десктоп без текста</t>
  </si>
  <si>
    <t>Корректная по правилам нотации диаграмма за одну итерацию «код → Run → исправление» вместо ручной перерисовки</t>
  </si>
  <si>
    <t>Единый DSL + профили нотаций с валидацией (код правила, строка) + авто-раскладка elkjs + шаблоны</t>
  </si>
  <si>
    <t>Для студентов технических специальностей, которые выполняют лабораторные и курсовые с IDEF0/IDEF3/DFD/ERD/UML, NotaCode строит диаграмму из текста и до сдачи показывает нарушения правил нотации с номером строки, в отличие от draw.io (правила не проверяет) и PlantUML/Mermaid (IDEF/DFD нет)</t>
  </si>
  <si>
    <t>Основное ЦП (Free)</t>
  </si>
  <si>
    <t>VP-002</t>
  </si>
  <si>
    <t>Модели процессов и данных живут отдельно от требований в Git</t>
  </si>
  <si>
    <t>Eraser.io синхронизирует с Git, но без IDEF/DFD; draw.io хранит XML без построчного diff</t>
  </si>
  <si>
    <t>Модель BPMN/IDEF0/DFD/ERD хранится как текст рядом с требованиями, с diff и откатом</t>
  </si>
  <si>
    <t>Текстовый DSL + история версий (коммиты, diff) + push в GitHub + экспорт BPMN XML/XMI/SQL DDL</t>
  </si>
  <si>
    <t>Для бизнес- и системных аналитиков NotaCode хранит модели процессов и данных как текст с историей версий и публикацией в GitHub, в отличие от графических редакторов, где модель и требования расходятся</t>
  </si>
  <si>
    <t>Расширенное ЦП (Pro)</t>
  </si>
  <si>
    <t>VP-003</t>
  </si>
  <si>
    <t>Разные инструменты и форматы для разных нотаций</t>
  </si>
  <si>
    <t>Каждый DaC-инструмент поддерживает свой формат и свой набор нотаций</t>
  </si>
  <si>
    <t>Один язык для UML/ERD/IDEF/DFD и конвертация в форматы аналогов</t>
  </si>
  <si>
    <t>Каталог нотаций + Conversion Service (PlantUML, Mermaid, D2, DOT, XMI, SQL DDL)</t>
  </si>
  <si>
    <t>Для архитекторов ПО NotaCode даёт один язык для всех нотаций и экспорт в PlantUML/Mermaid/XMI/SQL DDL без ручного переноса</t>
  </si>
  <si>
    <t>Гипотеза, R3–R4</t>
  </si>
  <si>
    <t>NotaCode Free (Web-IDE)</t>
  </si>
  <si>
    <t>Построить корректную диаграмму строгой нотации для учебной работы</t>
  </si>
  <si>
    <t>DSL-редактор + Run + холст + валидация правил волны 1 + шаблоны + экспорт SVG/PNG</t>
  </si>
  <si>
    <t>Кросс-подсветка строка↔элемент, история 20 версий, AI-заглушка/BYOK, GitHub push</t>
  </si>
  <si>
    <t>Профили нотаций (правила, коды правил), elkjs-раскладка, кэш анализа по хэшу</t>
  </si>
  <si>
    <t>Бесплатно: 5 проектов в облаке, 20 файлов в проекте, 20 версий; гостевой режим без регистрации</t>
  </si>
  <si>
    <t>Базовый уровень предложения</t>
  </si>
  <si>
    <t>PR-002</t>
  </si>
  <si>
    <t>NotaCode Pro</t>
  </si>
  <si>
    <t>Вести модели процессов/данных как код с полной историей и экспортом в рабочие форматы</t>
  </si>
  <si>
    <t>Всё из Free без лимитов проектов + полная история, diff, откат</t>
  </si>
  <si>
    <t>Все форматы экспорта (BPMN XML, XMI, PNML, draw.io, PlantUML, Mermaid, D2, DOT, SQL DDL, PDF), автосинхронизация GitHub/Drive, Kroki</t>
  </si>
  <si>
    <t>Conversion Service, серверные AI-ключи с квотой (после MVP)</t>
  </si>
  <si>
    <t>Подписка 4 USD/мес или 40 USD/год на пользователя (допущение цены, концепция §6)</t>
  </si>
  <si>
    <t>Расширенный уровень</t>
  </si>
  <si>
    <t>PR-003</t>
  </si>
  <si>
    <t>NotaCode для кафедры (гипотеза)</t>
  </si>
  <si>
    <t>Выдавать студентам наборы шаблонов заданий и проверять правила нотации</t>
  </si>
  <si>
    <t>Наборы шаблонов заданий, публичные ссылки на примеры</t>
  </si>
  <si>
    <t>Групповые лицензии Pro, отчёт о нарушениях правил по группе</t>
  </si>
  <si>
    <t>Агрегированная диагностика по правилам нотации</t>
  </si>
  <si>
    <t>Индивидуальный договор с вузом (🔲 проверить спрос интервью с преподавателями)</t>
  </si>
  <si>
    <t>Предельный уровень, R3–R4</t>
  </si>
  <si>
    <t>Pro-доступ на 1 месяц: снятие лимитов, полная история, все форматы экспорта</t>
  </si>
  <si>
    <t>Рыночный стандарт — подписка за место (Eraser.io $15–20); цена снижена под СНГ/студентов (концепция §6, допущение); 15 подписок = 500 активных Free × 4 % конверсии × доля помесячных (допущение)</t>
  </si>
  <si>
    <t>M-002</t>
  </si>
  <si>
    <t>Pro-доступ на 12 месяцев со скидкой ≈17 %</t>
  </si>
  <si>
    <t>Годовой тариф снижает отток; 1 годовая подписка в месяц — допущение</t>
  </si>
  <si>
    <t>M-003</t>
  </si>
  <si>
    <t>Групповой доступ кафедры: шаблоны заданий + Pro для группы</t>
  </si>
  <si>
    <t>Гипотеза: платит вуз/кафедра; цена не определена — 🔲 интервью с 3 преподавателями</t>
  </si>
  <si>
    <t>S-01 студенты технических специальностей (первичный, Free); S-02 аналитики и S-03 архитекторы (Pro); S-04 преподаватели (влияние)</t>
  </si>
  <si>
    <t>Корректная диаграмма строгой нотации из текста с проверкой правил, историей и экспортом</t>
  </si>
  <si>
    <t>Органический поиск (IDEF0/DFD/«diagram as code»), GitHub, рекомендации преподавателей, сообщества студентов</t>
  </si>
  <si>
    <t>Самообслуживание: шаблоны, документация, AI-помощник; сообщество (чат)</t>
  </si>
  <si>
    <t>Freemium: Pro 4 USD/мес или 40 USD/год; лимиты Free — проекты, версии, форматы</t>
  </si>
  <si>
    <t>Грамматика DSL, каталог и профили нотаций, Web IDE, модель версий</t>
  </si>
  <si>
    <t>Разработка профилей нотаций волнами, поддержка документации и шаблонов, контроль качества (100 % покрытие)</t>
  </si>
  <si>
    <t>LLM-провайдеры (бесплатные квоты), GitHub/Google Drive API, хостинг (Netlify, Render, Neon), платёжный провайдер РБ</t>
  </si>
  <si>
    <t>Разработка (≈610 ч), инфраструктура 0 на бесплатных тарифах, переменные — LLM API после MVP</t>
  </si>
  <si>
    <t>Полная модель (9 из 9 блоков)</t>
  </si>
  <si>
    <t>Сегмент S-01 почти не платит: товар Free, а монетизация — Pro для S-02/S-03</t>
  </si>
  <si>
    <t>Проверить конверсию S-01 → Pro после выпуска (студенты-старшекурсники, дипломники)</t>
  </si>
  <si>
    <t>CHK-002</t>
  </si>
  <si>
    <t>Нет подтверждения готовности аналитиков платить 4 USD</t>
  </si>
  <si>
    <t>Интервью с 5 аналитиками, тест страницы тарифов (заявка «Хочу Pro»)</t>
  </si>
  <si>
    <t>CHK-003</t>
  </si>
  <si>
    <t>Цена кафедрального тарифа не определена</t>
  </si>
  <si>
    <t>Интервью с преподавателями S-04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</si>
</sst>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0"/>
      <color rgb="FF1F2937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164" fontId="4" fillId="0" borderId="0" xfId="1" applyNumberFormat="1" applyFont="1" applyAlignment="1">
      <alignment vertical="top" wrapText="1"/>
    </xf>
    <xf numFmtId="3" fontId="4" fillId="0" borderId="0" xfId="1" applyNumberFormat="1" applyFont="1" applyAlignment="1">
      <alignment vertical="top" wrapText="1"/>
    </xf>
    <xf numFmtId="0" fontId="5" fillId="4" borderId="5" xfId="1" applyFont="1" applyFill="1" applyBorder="1" applyAlignment="1">
      <alignment horizontal="center" vertical="top" wrapText="1"/>
    </xf>
    <xf numFmtId="3" fontId="5" fillId="4" borderId="8" xfId="1" applyNumberFormat="1" applyFont="1" applyFill="1" applyBorder="1" applyAlignment="1">
      <alignment horizontal="center" vertical="top" wrapText="1"/>
    </xf>
    <xf numFmtId="9" fontId="4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2" fillId="3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Дашборд!$E$5:$E$8</c:f>
              <c:strCache>
                <c:ptCount val="4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</c:strCache>
            </c:strRef>
          </c:cat>
          <c:val>
            <c:numRef>
              <c:f>Дашборд!$F$5:$F$8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9-47B3-ABED-BA3422B88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3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Table" displayName="SourceDataTable" ref="A4:J104">
  <tableColumns count="10">
    <tableColumn id="1" xr3:uid="{00000000-0010-0000-0000-000001000000}" name="ID источника"/>
    <tableColumn id="2" xr3:uid="{00000000-0010-0000-0000-000002000000}" name="Дата сбора"/>
    <tableColumn id="3" xr3:uid="{00000000-0010-0000-0000-000003000000}" name="Тип источника"/>
    <tableColumn id="4" xr3:uid="{00000000-0010-0000-0000-000004000000}" name="Площадка/сайт"/>
    <tableColumn id="5" xr3:uid="{00000000-0010-0000-0000-000005000000}" name="Компания/товар"/>
    <tableColumn id="6" xr3:uid="{00000000-0010-0000-0000-000006000000}" name="Ссылка"/>
    <tableColumn id="7" xr3:uid="{00000000-0010-0000-0000-000007000000}" name="Фрагмент факта"/>
    <tableColumn id="8" xr3:uid="{00000000-0010-0000-0000-000008000000}" name="Какая проблема/решение подтверждается"/>
    <tableColumn id="9" xr3:uid="{00000000-0010-0000-0000-000009000000}" name="Достоверность 1–5"/>
    <tableColumn id="10" xr3:uid="{00000000-0010-0000-0000-00000A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lemsTable" displayName="ProblemsTable" ref="A4:M104">
  <tableColumns count="13">
    <tableColumn id="1" xr3:uid="{00000000-0010-0000-0100-000001000000}" name="ID проблемы"/>
    <tableColumn id="2" xr3:uid="{00000000-0010-0000-0100-000002000000}" name="Сегмент"/>
    <tableColumn id="3" xr3:uid="{00000000-0010-0000-0100-000003000000}" name="Тип проблемы"/>
    <tableColumn id="4" xr3:uid="{00000000-0010-0000-0100-000004000000}" name="Формулировка проблемы клиента"/>
    <tableColumn id="5" xr3:uid="{00000000-0010-0000-0100-000005000000}" name="Частота 1–5"/>
    <tableColumn id="6" xr3:uid="{00000000-0010-0000-0100-000006000000}" name="Интенсивность 1–5"/>
    <tableColumn id="7" xr3:uid="{00000000-0010-0000-0100-000007000000}" name="Срочность 1–5"/>
    <tableColumn id="8" xr3:uid="{00000000-0010-0000-0100-000008000000}" name="Незакрытость конкурентами 1–5"/>
    <tableColumn id="9" xr3:uid="{00000000-0010-0000-0100-000009000000}" name="Готовность платить 1–5"/>
    <tableColumn id="10" xr3:uid="{00000000-0010-0000-0100-00000A000000}" name="Доказательность 1–5"/>
    <tableColumn id="11" xr3:uid="{00000000-0010-0000-0100-00000B000000}" name="Индекс проблемы"/>
    <tableColumn id="12" xr3:uid="{00000000-0010-0000-0100-00000C000000}" name="Приоритет"/>
    <tableColumn id="13" xr3:uid="{00000000-0010-0000-0100-00000D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olutionsTable" displayName="CompetitorSolutionsTable" ref="A4:L104">
  <tableColumns count="12">
    <tableColumn id="1" xr3:uid="{00000000-0010-0000-0200-000001000000}" name="Компания"/>
    <tableColumn id="2" xr3:uid="{00000000-0010-0000-0200-000002000000}" name="Сайт"/>
    <tableColumn id="3" xr3:uid="{00000000-0010-0000-0200-000003000000}" name="ID проблемы"/>
    <tableColumn id="4" xr3:uid="{00000000-0010-0000-0200-000004000000}" name="Как конкурент решает проблему"/>
    <tableColumn id="5" xr3:uid="{00000000-0010-0000-0200-000005000000}" name="Покрытие проблемы 1–5"/>
    <tableColumn id="6" xr3:uid="{00000000-0010-0000-0200-000006000000}" name="Ясность обещания 1–5"/>
    <tableColumn id="7" xr3:uid="{00000000-0010-0000-0200-000007000000}" name="Полнота товара 1–5"/>
    <tableColumn id="8" xr3:uid="{00000000-0010-0000-0200-000008000000}" name="Удобство доступа 1–5"/>
    <tableColumn id="9" xr3:uid="{00000000-0010-0000-0200-000009000000}" name="Доказательность 1–5"/>
    <tableColumn id="10" xr3:uid="{00000000-0010-0000-0200-00000A000000}" name="Индекс силы решения"/>
    <tableColumn id="11" xr3:uid="{00000000-0010-0000-0200-00000B000000}" name="Уровень решения"/>
    <tableColumn id="12" xr3:uid="{00000000-0010-0000-0200-00000C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positionsTable" displayName="ValuePropositionsTable" ref="A4:M104">
  <tableColumns count="13">
    <tableColumn id="1" xr3:uid="{00000000-0010-0000-0300-000001000000}" name="ID ЦП"/>
    <tableColumn id="2" xr3:uid="{00000000-0010-0000-0300-000002000000}" name="ID проблемы"/>
    <tableColumn id="3" xr3:uid="{00000000-0010-0000-0300-000003000000}" name="Сегмент"/>
    <tableColumn id="4" xr3:uid="{00000000-0010-0000-0300-000004000000}" name="Опорная проблема"/>
    <tableColumn id="5" xr3:uid="{00000000-0010-0000-0300-000005000000}" name="Конкурентный пробел"/>
    <tableColumn id="6" xr3:uid="{00000000-0010-0000-0300-000006000000}" name="Обещаемый результат"/>
    <tableColumn id="7" xr3:uid="{00000000-0010-0000-0300-000007000000}" name="Механизм создания ценности"/>
    <tableColumn id="8" xr3:uid="{00000000-0010-0000-0300-000008000000}" name="Формулировка ценностного предложения"/>
    <tableColumn id="9" xr3:uid="{00000000-0010-0000-0300-000009000000}" name="Тип ЦП"/>
    <tableColumn id="10" xr3:uid="{00000000-0010-0000-0300-00000A000000}" name="Тип ценности"/>
    <tableColumn id="11" xr3:uid="{00000000-0010-0000-0300-00000B000000}" name="Индекс проблемы"/>
    <tableColumn id="12" xr3:uid="{00000000-0010-0000-0300-00000C000000}" name="Статус"/>
    <tableColumn id="13" xr3:uid="{00000000-0010-0000-0300-00000D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gitalProductTable" displayName="DigitalProductTable" ref="A4:M104">
  <tableColumns count="13">
    <tableColumn id="1" xr3:uid="{00000000-0010-0000-0400-000001000000}" name="ID товара"/>
    <tableColumn id="2" xr3:uid="{00000000-0010-0000-0400-000002000000}" name="ID ЦП"/>
    <tableColumn id="3" xr3:uid="{00000000-0010-0000-0400-000003000000}" name="Название цифрового товара"/>
    <tableColumn id="4" xr3:uid="{00000000-0010-0000-0400-000004000000}" name="Тип цифрового товара"/>
    <tableColumn id="5" xr3:uid="{00000000-0010-0000-0400-000005000000}" name="Клиентская задача"/>
    <tableColumn id="6" xr3:uid="{00000000-0010-0000-0400-000006000000}" name="Базовая функция"/>
    <tableColumn id="7" xr3:uid="{00000000-0010-0000-0400-000007000000}" name="Расширенные функции"/>
    <tableColumn id="8" xr3:uid="{00000000-0010-0000-0400-000008000000}" name="Данные/алгоритмы как часть ценности"/>
    <tableColumn id="9" xr3:uid="{00000000-0010-0000-0400-000009000000}" name="Условия доступа и использования"/>
    <tableColumn id="10" xr3:uid="{00000000-0010-0000-0400-00000A000000}" name="Носитель ценности"/>
    <tableColumn id="11" xr3:uid="{00000000-0010-0000-0400-00000B000000}" name="Индекс товарной оформленности"/>
    <tableColumn id="12" xr3:uid="{00000000-0010-0000-0400-00000C000000}" name="Статус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4:N104">
  <tableColumns count="14">
    <tableColumn id="1" xr3:uid="{00000000-0010-0000-0500-000001000000}" name="ID монетизации"/>
    <tableColumn id="2" xr3:uid="{00000000-0010-0000-0500-000002000000}" name="ID товара"/>
    <tableColumn id="3" xr3:uid="{00000000-0010-0000-0500-000003000000}" name="Единица монетизации"/>
    <tableColumn id="4" xr3:uid="{00000000-0010-0000-0500-000004000000}" name="Что покупает клиент"/>
    <tableColumn id="5" xr3:uid="{00000000-0010-0000-0500-000005000000}" name="Периодичность"/>
    <tableColumn id="6" xr3:uid="{00000000-0010-0000-0500-000006000000}" name="Базовая цена"/>
    <tableColumn id="7" xr3:uid="{00000000-0010-0000-0500-000007000000}" name="Кол-во единиц в месяц"/>
    <tableColumn id="8" xr3:uid="{00000000-0010-0000-0500-000008000000}" name="Расчетная выручка"/>
    <tableColumn id="9" xr3:uid="{00000000-0010-0000-0500-000009000000}" name="Обоснование готовности платить"/>
    <tableColumn id="10" xr3:uid="{00000000-0010-0000-0500-00000A000000}" name="Связь с ценностью 1–5"/>
    <tableColumn id="11" xr3:uid="{00000000-0010-0000-0500-00000B000000}" name="Простота тарификации 1–5"/>
    <tableColumn id="12" xr3:uid="{00000000-0010-0000-0500-00000C000000}" name="Повторяемость 1–5"/>
    <tableColumn id="13" xr3:uid="{00000000-0010-0000-0500-00000D000000}" name="Монетизационный потенциал"/>
    <tableColumn id="14" xr3:uid="{00000000-0010-0000-0500-00000E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sinessModelTable" displayName="BusinessModelTable" ref="A4:M104">
  <tableColumns count="13">
    <tableColumn id="1" xr3:uid="{00000000-0010-0000-0600-000001000000}" name="ID модели"/>
    <tableColumn id="2" xr3:uid="{00000000-0010-0000-0600-000002000000}" name="ID товара"/>
    <tableColumn id="3" xr3:uid="{00000000-0010-0000-0600-000003000000}" name="Клиентские сегменты"/>
    <tableColumn id="4" xr3:uid="{00000000-0010-0000-0600-000004000000}" name="Ценностное предложение"/>
    <tableColumn id="5" xr3:uid="{00000000-0010-0000-0600-000005000000}" name="Каналы"/>
    <tableColumn id="6" xr3:uid="{00000000-0010-0000-0600-000006000000}" name="Отношения с клиентами"/>
    <tableColumn id="7" xr3:uid="{00000000-0010-0000-0600-000007000000}" name="Потоки доходов"/>
    <tableColumn id="8" xr3:uid="{00000000-0010-0000-0600-000008000000}" name="Ключевые ресурсы"/>
    <tableColumn id="9" xr3:uid="{00000000-0010-0000-0600-000009000000}" name="Ключевые виды деятельности"/>
    <tableColumn id="10" xr3:uid="{00000000-0010-0000-0600-00000A000000}" name="Ключевые партнеры"/>
    <tableColumn id="11" xr3:uid="{00000000-0010-0000-0600-00000B000000}" name="Структура затрат"/>
    <tableColumn id="12" xr3:uid="{00000000-0010-0000-0600-00000C000000}" name="Индекс полноты бизнес-модели"/>
    <tableColumn id="13" xr3:uid="{00000000-0010-0000-0600-00000D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herenceCheckTable" displayName="CoherenceCheckTable" ref="A4:J104">
  <tableColumns count="10">
    <tableColumn id="1" xr3:uid="{00000000-0010-0000-0700-000001000000}" name="ID проверки"/>
    <tableColumn id="2" xr3:uid="{00000000-0010-0000-0700-000002000000}" name="ID проблемы"/>
    <tableColumn id="3" xr3:uid="{00000000-0010-0000-0700-000003000000}" name="ID ЦП"/>
    <tableColumn id="4" xr3:uid="{00000000-0010-0000-0700-000004000000}" name="ID товара"/>
    <tableColumn id="5" xr3:uid="{00000000-0010-0000-0700-000005000000}" name="ID монетизации"/>
    <tableColumn id="6" xr3:uid="{00000000-0010-0000-0700-000006000000}" name="ID модели"/>
    <tableColumn id="7" xr3:uid="{00000000-0010-0000-0700-000007000000}" name="Индекс связности"/>
    <tableColumn id="8" xr3:uid="{00000000-0010-0000-0700-000008000000}" name="Решение"/>
    <tableColumn id="9" xr3:uid="{00000000-0010-0000-0700-000009000000}" name="Главный разрыв"/>
    <tableColumn id="10" xr3:uid="{00000000-0010-0000-0700-00000A000000}" name="Что доработа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sqref="A1:M1"/>
    </sheetView>
  </sheetViews>
  <sheetFormatPr defaultRowHeight="14.25"/>
  <cols>
    <col min="1" max="13" width="22" customWidth="1"/>
  </cols>
  <sheetData>
    <row r="1" spans="1:13" ht="27.9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3.950000000000003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33.950000000000003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3">
      <c r="A5" s="2">
        <v>2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</row>
    <row r="6" spans="1:13">
      <c r="A6" s="2">
        <v>3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/>
      <c r="K6" s="2" t="s">
        <v>47</v>
      </c>
      <c r="L6" s="2" t="s">
        <v>48</v>
      </c>
      <c r="M6" s="2" t="s">
        <v>49</v>
      </c>
    </row>
    <row r="7" spans="1:13">
      <c r="A7" s="2">
        <v>4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/>
      <c r="K7" s="2" t="s">
        <v>58</v>
      </c>
      <c r="L7" s="2"/>
      <c r="M7" s="2" t="s">
        <v>59</v>
      </c>
    </row>
    <row r="8" spans="1:13">
      <c r="A8" s="2">
        <v>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/>
      <c r="J8" s="2"/>
      <c r="K8" s="2" t="s">
        <v>67</v>
      </c>
      <c r="L8" s="2"/>
      <c r="M8" s="2"/>
    </row>
    <row r="9" spans="1:13" ht="25.5">
      <c r="A9" s="2"/>
      <c r="B9" s="2"/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/>
      <c r="J9" s="2"/>
      <c r="K9" s="2" t="s">
        <v>74</v>
      </c>
      <c r="L9" s="2"/>
      <c r="M9" s="2"/>
    </row>
    <row r="10" spans="1:13" ht="25.5">
      <c r="A10" s="2"/>
      <c r="B10" s="2"/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/>
      <c r="J10" s="2"/>
      <c r="K10" s="2" t="s">
        <v>81</v>
      </c>
      <c r="L10" s="2"/>
      <c r="M10" s="2"/>
    </row>
    <row r="11" spans="1:13">
      <c r="A11" s="2"/>
      <c r="B11" s="2"/>
      <c r="C11" s="2"/>
      <c r="D11" s="2" t="s">
        <v>82</v>
      </c>
      <c r="E11" s="2"/>
      <c r="F11" s="2" t="s">
        <v>83</v>
      </c>
      <c r="G11" s="2" t="s">
        <v>84</v>
      </c>
      <c r="H11" s="2" t="s">
        <v>85</v>
      </c>
      <c r="I11" s="2"/>
      <c r="J11" s="2"/>
      <c r="K11" s="2" t="s">
        <v>86</v>
      </c>
      <c r="L11" s="2"/>
      <c r="M11" s="2"/>
    </row>
    <row r="12" spans="1:13">
      <c r="A12" s="2"/>
      <c r="B12" s="2"/>
      <c r="C12" s="2"/>
      <c r="D12" s="2"/>
      <c r="E12" s="2"/>
      <c r="F12" s="2" t="s">
        <v>87</v>
      </c>
      <c r="G12" s="2" t="s">
        <v>88</v>
      </c>
      <c r="H12" s="2"/>
      <c r="I12" s="2"/>
      <c r="J12" s="2"/>
      <c r="K12" s="2" t="s">
        <v>89</v>
      </c>
      <c r="L12" s="2"/>
      <c r="M12" s="2"/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defaultRowHeight="14.25"/>
  <cols>
    <col min="1" max="1" width="28" customWidth="1"/>
    <col min="2" max="2" width="64" customWidth="1"/>
    <col min="3" max="3" width="46" customWidth="1"/>
  </cols>
  <sheetData>
    <row r="1" spans="1:11" ht="27.95" customHeight="1">
      <c r="A1" s="17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3.950000000000003" customHeight="1">
      <c r="A2" s="19" t="s">
        <v>91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33.950000000000003" customHeight="1">
      <c r="A4" s="3" t="s">
        <v>92</v>
      </c>
      <c r="B4" s="4" t="s">
        <v>93</v>
      </c>
      <c r="C4" s="5" t="s">
        <v>94</v>
      </c>
    </row>
    <row r="5" spans="1:11" ht="25.5">
      <c r="A5" s="6" t="s">
        <v>95</v>
      </c>
      <c r="B5" s="7" t="s">
        <v>96</v>
      </c>
      <c r="C5" s="8" t="s">
        <v>97</v>
      </c>
    </row>
    <row r="6" spans="1:11" ht="25.5">
      <c r="A6" s="6" t="s">
        <v>98</v>
      </c>
      <c r="B6" s="7" t="s">
        <v>99</v>
      </c>
      <c r="C6" s="8" t="s">
        <v>100</v>
      </c>
    </row>
    <row r="7" spans="1:11" ht="25.5">
      <c r="A7" s="6" t="s">
        <v>101</v>
      </c>
      <c r="B7" s="7" t="s">
        <v>102</v>
      </c>
      <c r="C7" s="8" t="s">
        <v>103</v>
      </c>
    </row>
    <row r="8" spans="1:11" ht="25.5">
      <c r="A8" s="6" t="s">
        <v>104</v>
      </c>
      <c r="B8" s="7" t="s">
        <v>105</v>
      </c>
      <c r="C8" s="8" t="s">
        <v>106</v>
      </c>
    </row>
    <row r="9" spans="1:11" ht="25.5">
      <c r="A9" s="6" t="s">
        <v>107</v>
      </c>
      <c r="B9" s="7" t="s">
        <v>108</v>
      </c>
      <c r="C9" s="8" t="s">
        <v>109</v>
      </c>
    </row>
    <row r="10" spans="1:11" ht="25.5">
      <c r="A10" s="6" t="s">
        <v>110</v>
      </c>
      <c r="B10" s="7" t="s">
        <v>111</v>
      </c>
      <c r="C10" s="8" t="s">
        <v>112</v>
      </c>
    </row>
    <row r="11" spans="1:11" ht="25.5">
      <c r="A11" s="6" t="s">
        <v>113</v>
      </c>
      <c r="B11" s="7" t="s">
        <v>114</v>
      </c>
      <c r="C11" s="8" t="s">
        <v>115</v>
      </c>
    </row>
    <row r="12" spans="1:11" ht="25.5">
      <c r="A12" s="9" t="s">
        <v>116</v>
      </c>
      <c r="B12" s="10" t="s">
        <v>117</v>
      </c>
      <c r="C12" s="11" t="s">
        <v>118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workbookViewId="0"/>
  </sheetViews>
  <sheetFormatPr defaultRowHeight="14.25"/>
  <cols>
    <col min="1" max="2" width="12" customWidth="1"/>
    <col min="3" max="3" width="20" customWidth="1"/>
    <col min="4" max="5" width="24" customWidth="1"/>
    <col min="6" max="6" width="34" customWidth="1"/>
    <col min="7" max="7" width="46" customWidth="1"/>
    <col min="8" max="8" width="38" customWidth="1"/>
    <col min="9" max="9" width="16" customWidth="1"/>
    <col min="10" max="10" width="34" customWidth="1"/>
  </cols>
  <sheetData>
    <row r="1" spans="1:10" ht="27.95" customHeight="1">
      <c r="A1" s="17" t="s">
        <v>119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3.950000000000003" customHeight="1">
      <c r="A2" s="19" t="s">
        <v>120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3.950000000000003" customHeight="1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</row>
    <row r="5" spans="1:10" ht="42" customHeight="1">
      <c r="A5" s="2" t="s">
        <v>131</v>
      </c>
      <c r="B5" s="12">
        <v>46282</v>
      </c>
      <c r="C5" s="2" t="s">
        <v>134</v>
      </c>
      <c r="D5" s="2" t="s">
        <v>233</v>
      </c>
      <c r="E5" s="2" t="s">
        <v>234</v>
      </c>
      <c r="F5" s="2" t="s">
        <v>235</v>
      </c>
      <c r="G5" s="2" t="s">
        <v>236</v>
      </c>
      <c r="H5" s="2" t="s">
        <v>237</v>
      </c>
      <c r="I5" s="2">
        <v>5</v>
      </c>
      <c r="J5" s="2" t="s">
        <v>238</v>
      </c>
    </row>
    <row r="6" spans="1:10" ht="42" customHeight="1">
      <c r="A6" s="2" t="s">
        <v>133</v>
      </c>
      <c r="B6" s="12">
        <v>46282</v>
      </c>
      <c r="C6" s="2" t="s">
        <v>239</v>
      </c>
      <c r="D6" s="2" t="s">
        <v>240</v>
      </c>
      <c r="E6" s="2" t="s">
        <v>241</v>
      </c>
      <c r="F6" s="2" t="s">
        <v>242</v>
      </c>
      <c r="G6" s="2" t="s">
        <v>243</v>
      </c>
      <c r="H6" s="2" t="s">
        <v>244</v>
      </c>
      <c r="I6" s="2">
        <v>5</v>
      </c>
      <c r="J6" s="2" t="s">
        <v>238</v>
      </c>
    </row>
    <row r="7" spans="1:10" ht="42" customHeight="1">
      <c r="A7" s="2" t="s">
        <v>245</v>
      </c>
      <c r="B7" s="12">
        <v>46282</v>
      </c>
      <c r="C7" s="2" t="s">
        <v>246</v>
      </c>
      <c r="D7" s="2" t="s">
        <v>247</v>
      </c>
      <c r="E7" s="2" t="s">
        <v>248</v>
      </c>
      <c r="F7" s="2" t="s">
        <v>249</v>
      </c>
      <c r="G7" s="2" t="s">
        <v>250</v>
      </c>
      <c r="H7" s="2" t="s">
        <v>251</v>
      </c>
      <c r="I7" s="2">
        <v>5</v>
      </c>
      <c r="J7" s="2" t="s">
        <v>238</v>
      </c>
    </row>
    <row r="8" spans="1:10" ht="42" customHeight="1">
      <c r="A8" s="2" t="s">
        <v>252</v>
      </c>
      <c r="B8" s="12">
        <v>46282</v>
      </c>
      <c r="C8" s="2" t="s">
        <v>239</v>
      </c>
      <c r="D8" s="2" t="s">
        <v>253</v>
      </c>
      <c r="E8" s="2" t="s">
        <v>248</v>
      </c>
      <c r="F8" s="2" t="s">
        <v>254</v>
      </c>
      <c r="G8" s="2" t="s">
        <v>255</v>
      </c>
      <c r="H8" s="2" t="s">
        <v>256</v>
      </c>
      <c r="I8" s="2">
        <v>5</v>
      </c>
      <c r="J8" s="2" t="s">
        <v>257</v>
      </c>
    </row>
    <row r="9" spans="1:10" ht="42" customHeight="1">
      <c r="A9" s="2" t="s">
        <v>258</v>
      </c>
      <c r="B9" s="12">
        <v>46288</v>
      </c>
      <c r="C9" s="2" t="s">
        <v>134</v>
      </c>
      <c r="D9" s="2" t="s">
        <v>259</v>
      </c>
      <c r="E9" s="2" t="s">
        <v>260</v>
      </c>
      <c r="F9" s="2" t="s">
        <v>261</v>
      </c>
      <c r="G9" s="2" t="s">
        <v>262</v>
      </c>
      <c r="H9" s="2" t="s">
        <v>263</v>
      </c>
      <c r="I9" s="2">
        <v>5</v>
      </c>
      <c r="J9" s="2" t="s">
        <v>238</v>
      </c>
    </row>
    <row r="10" spans="1:10" ht="42" customHeight="1">
      <c r="A10" s="2" t="s">
        <v>264</v>
      </c>
      <c r="B10" s="12">
        <v>46288</v>
      </c>
      <c r="C10" s="2" t="s">
        <v>134</v>
      </c>
      <c r="D10" s="2" t="s">
        <v>265</v>
      </c>
      <c r="E10" s="2" t="s">
        <v>266</v>
      </c>
      <c r="F10" s="2" t="s">
        <v>267</v>
      </c>
      <c r="G10" s="2" t="s">
        <v>268</v>
      </c>
      <c r="H10" s="2" t="s">
        <v>269</v>
      </c>
      <c r="I10" s="2">
        <v>4</v>
      </c>
      <c r="J10" s="2" t="s">
        <v>270</v>
      </c>
    </row>
    <row r="11" spans="1:10" ht="42" customHeight="1">
      <c r="A11" s="2" t="s">
        <v>271</v>
      </c>
      <c r="B11" s="12">
        <v>46288</v>
      </c>
      <c r="C11" s="2" t="s">
        <v>272</v>
      </c>
      <c r="D11" s="2" t="s">
        <v>273</v>
      </c>
      <c r="E11" s="2" t="s">
        <v>266</v>
      </c>
      <c r="F11" s="2" t="s">
        <v>274</v>
      </c>
      <c r="G11" s="2" t="s">
        <v>275</v>
      </c>
      <c r="H11" s="2" t="s">
        <v>276</v>
      </c>
      <c r="I11" s="2">
        <v>5</v>
      </c>
      <c r="J11" s="2" t="s">
        <v>238</v>
      </c>
    </row>
    <row r="12" spans="1:10" ht="42" customHeight="1">
      <c r="A12" s="2" t="s">
        <v>277</v>
      </c>
      <c r="B12" s="12">
        <v>46282</v>
      </c>
      <c r="C12" s="2" t="s">
        <v>278</v>
      </c>
      <c r="D12" s="2" t="s">
        <v>279</v>
      </c>
      <c r="E12" s="2" t="s">
        <v>234</v>
      </c>
      <c r="F12" s="2" t="s">
        <v>280</v>
      </c>
      <c r="G12" s="2" t="s">
        <v>281</v>
      </c>
      <c r="H12" s="2" t="s">
        <v>282</v>
      </c>
      <c r="I12" s="2">
        <v>4</v>
      </c>
      <c r="J12" s="2" t="s">
        <v>283</v>
      </c>
    </row>
    <row r="13" spans="1:10" ht="42" customHeight="1">
      <c r="A13" s="2" t="s">
        <v>284</v>
      </c>
      <c r="B13" s="12">
        <v>46288</v>
      </c>
      <c r="C13" s="2" t="s">
        <v>278</v>
      </c>
      <c r="D13" s="2" t="s">
        <v>279</v>
      </c>
      <c r="E13" s="2" t="s">
        <v>285</v>
      </c>
      <c r="F13" s="2" t="s">
        <v>286</v>
      </c>
      <c r="G13" s="2" t="s">
        <v>287</v>
      </c>
      <c r="H13" s="2" t="s">
        <v>288</v>
      </c>
      <c r="I13" s="2">
        <v>4</v>
      </c>
      <c r="J13" s="2" t="s">
        <v>283</v>
      </c>
    </row>
    <row r="14" spans="1:10" ht="42" customHeight="1">
      <c r="A14" s="2" t="s">
        <v>289</v>
      </c>
      <c r="B14" s="12">
        <v>46282</v>
      </c>
      <c r="C14" s="2" t="s">
        <v>278</v>
      </c>
      <c r="D14" s="2" t="s">
        <v>290</v>
      </c>
      <c r="E14" s="2" t="s">
        <v>234</v>
      </c>
      <c r="F14" s="2" t="s">
        <v>291</v>
      </c>
      <c r="G14" s="2" t="s">
        <v>292</v>
      </c>
      <c r="H14" s="2" t="s">
        <v>293</v>
      </c>
      <c r="I14" s="2">
        <v>4</v>
      </c>
      <c r="J14" s="2" t="s">
        <v>294</v>
      </c>
    </row>
    <row r="15" spans="1:10" ht="42" customHeight="1">
      <c r="A15" s="2" t="s">
        <v>295</v>
      </c>
      <c r="B15" s="12">
        <v>46282</v>
      </c>
      <c r="C15" s="2" t="s">
        <v>239</v>
      </c>
      <c r="D15" s="2" t="s">
        <v>296</v>
      </c>
      <c r="E15" s="2" t="s">
        <v>297</v>
      </c>
      <c r="F15" s="2" t="s">
        <v>298</v>
      </c>
      <c r="G15" s="2" t="s">
        <v>299</v>
      </c>
      <c r="H15" s="2" t="s">
        <v>300</v>
      </c>
      <c r="I15" s="2">
        <v>3</v>
      </c>
      <c r="J15" s="2" t="s">
        <v>301</v>
      </c>
    </row>
    <row r="16" spans="1:10" ht="42" customHeight="1">
      <c r="A16" s="2" t="s">
        <v>302</v>
      </c>
      <c r="B16" s="12">
        <v>46288</v>
      </c>
      <c r="C16" s="2" t="s">
        <v>272</v>
      </c>
      <c r="D16" s="2" t="s">
        <v>303</v>
      </c>
      <c r="E16" s="2" t="s">
        <v>304</v>
      </c>
      <c r="F16" s="2" t="s">
        <v>305</v>
      </c>
      <c r="G16" s="2" t="s">
        <v>306</v>
      </c>
      <c r="H16" s="2" t="s">
        <v>307</v>
      </c>
      <c r="I16" s="2">
        <v>3</v>
      </c>
      <c r="J16" s="2" t="s">
        <v>308</v>
      </c>
    </row>
    <row r="17" spans="1:10" ht="42" customHeight="1">
      <c r="A17" s="2" t="s">
        <v>309</v>
      </c>
      <c r="B17" s="12">
        <v>46288</v>
      </c>
      <c r="C17" s="2" t="s">
        <v>272</v>
      </c>
      <c r="D17" s="2" t="s">
        <v>310</v>
      </c>
      <c r="E17" s="2" t="s">
        <v>304</v>
      </c>
      <c r="F17" s="2" t="s">
        <v>311</v>
      </c>
      <c r="G17" s="2" t="s">
        <v>312</v>
      </c>
      <c r="H17" s="2" t="s">
        <v>313</v>
      </c>
      <c r="I17" s="2">
        <v>2</v>
      </c>
      <c r="J17" s="2" t="s">
        <v>314</v>
      </c>
    </row>
    <row r="18" spans="1:10" ht="42" customHeight="1">
      <c r="A18" s="2" t="s">
        <v>315</v>
      </c>
      <c r="B18" s="12">
        <v>46282</v>
      </c>
      <c r="C18" s="2" t="s">
        <v>316</v>
      </c>
      <c r="D18" s="2" t="s">
        <v>317</v>
      </c>
      <c r="E18" s="2" t="s">
        <v>318</v>
      </c>
      <c r="F18" s="2" t="s">
        <v>319</v>
      </c>
      <c r="G18" s="2" t="s">
        <v>320</v>
      </c>
      <c r="H18" s="2" t="s">
        <v>321</v>
      </c>
      <c r="I18" s="2">
        <v>4</v>
      </c>
      <c r="J18" s="2" t="s">
        <v>322</v>
      </c>
    </row>
    <row r="19" spans="1:10" ht="42" customHeight="1">
      <c r="A19" s="2" t="s">
        <v>323</v>
      </c>
      <c r="B19" s="12"/>
      <c r="C19" s="2" t="s">
        <v>132</v>
      </c>
      <c r="D19" s="2" t="s">
        <v>324</v>
      </c>
      <c r="E19" s="2" t="s">
        <v>325</v>
      </c>
      <c r="F19" s="2" t="s">
        <v>326</v>
      </c>
      <c r="G19" s="2" t="s">
        <v>327</v>
      </c>
      <c r="H19" s="2" t="s">
        <v>328</v>
      </c>
      <c r="I19" s="2"/>
      <c r="J19" s="2" t="s">
        <v>329</v>
      </c>
    </row>
    <row r="20" spans="1:10" ht="42" customHeight="1">
      <c r="A20" s="2" t="s">
        <v>330</v>
      </c>
      <c r="B20" s="12"/>
      <c r="C20" s="2" t="s">
        <v>132</v>
      </c>
      <c r="D20" s="2" t="s">
        <v>331</v>
      </c>
      <c r="E20" s="2" t="s">
        <v>332</v>
      </c>
      <c r="F20" s="2" t="s">
        <v>326</v>
      </c>
      <c r="G20" s="2" t="s">
        <v>333</v>
      </c>
      <c r="H20" s="2" t="s">
        <v>334</v>
      </c>
      <c r="I20" s="2"/>
      <c r="J20" s="2" t="s">
        <v>335</v>
      </c>
    </row>
    <row r="21" spans="1:10" ht="42" customHeight="1">
      <c r="A21" s="2"/>
      <c r="B21" s="12"/>
      <c r="C21" s="2"/>
      <c r="D21" s="2"/>
      <c r="E21" s="2"/>
      <c r="F21" s="2"/>
      <c r="G21" s="2"/>
      <c r="H21" s="2"/>
      <c r="I21" s="2"/>
      <c r="J21" s="2"/>
    </row>
    <row r="22" spans="1:10" ht="42" customHeight="1">
      <c r="A22" s="2"/>
      <c r="B22" s="12"/>
      <c r="C22" s="2"/>
      <c r="D22" s="2"/>
      <c r="E22" s="2"/>
      <c r="F22" s="2"/>
      <c r="G22" s="2"/>
      <c r="H22" s="2"/>
      <c r="I22" s="2"/>
      <c r="J22" s="2"/>
    </row>
    <row r="23" spans="1:10" ht="42" customHeight="1">
      <c r="A23" s="2"/>
      <c r="B23" s="12"/>
      <c r="C23" s="2"/>
      <c r="D23" s="2"/>
      <c r="E23" s="2"/>
      <c r="F23" s="2"/>
      <c r="G23" s="2"/>
      <c r="H23" s="2"/>
      <c r="I23" s="2"/>
      <c r="J23" s="2"/>
    </row>
    <row r="24" spans="1:10" ht="42" customHeight="1">
      <c r="A24" s="2"/>
      <c r="B24" s="12"/>
      <c r="C24" s="2"/>
      <c r="D24" s="2"/>
      <c r="E24" s="2"/>
      <c r="F24" s="2"/>
      <c r="G24" s="2"/>
      <c r="H24" s="2"/>
      <c r="I24" s="2"/>
      <c r="J24" s="2"/>
    </row>
    <row r="25" spans="1:10" ht="42" customHeight="1">
      <c r="A25" s="2"/>
      <c r="B25" s="12"/>
      <c r="C25" s="2"/>
      <c r="D25" s="2"/>
      <c r="E25" s="2"/>
      <c r="F25" s="2"/>
      <c r="G25" s="2"/>
      <c r="H25" s="2"/>
      <c r="I25" s="2"/>
      <c r="J25" s="2"/>
    </row>
    <row r="26" spans="1:10" ht="42" customHeight="1">
      <c r="A26" s="2"/>
      <c r="B26" s="12"/>
      <c r="C26" s="2"/>
      <c r="D26" s="2"/>
      <c r="E26" s="2"/>
      <c r="F26" s="2"/>
      <c r="G26" s="2"/>
      <c r="H26" s="2"/>
      <c r="I26" s="2"/>
      <c r="J26" s="2"/>
    </row>
    <row r="27" spans="1:10" ht="42" customHeight="1">
      <c r="A27" s="2"/>
      <c r="B27" s="12"/>
      <c r="C27" s="2"/>
      <c r="D27" s="2"/>
      <c r="E27" s="2"/>
      <c r="F27" s="2"/>
      <c r="G27" s="2"/>
      <c r="H27" s="2"/>
      <c r="I27" s="2"/>
      <c r="J27" s="2"/>
    </row>
    <row r="28" spans="1:10" ht="42" customHeight="1">
      <c r="A28" s="2"/>
      <c r="B28" s="12"/>
      <c r="C28" s="2"/>
      <c r="D28" s="2"/>
      <c r="E28" s="2"/>
      <c r="F28" s="2"/>
      <c r="G28" s="2"/>
      <c r="H28" s="2"/>
      <c r="I28" s="2"/>
      <c r="J28" s="2"/>
    </row>
    <row r="29" spans="1:10" ht="42" customHeight="1">
      <c r="A29" s="2"/>
      <c r="B29" s="12"/>
      <c r="C29" s="2"/>
      <c r="D29" s="2"/>
      <c r="E29" s="2"/>
      <c r="F29" s="2"/>
      <c r="G29" s="2"/>
      <c r="H29" s="2"/>
      <c r="I29" s="2"/>
      <c r="J29" s="2"/>
    </row>
    <row r="30" spans="1:10" ht="42" customHeight="1">
      <c r="A30" s="2"/>
      <c r="B30" s="12"/>
      <c r="C30" s="2"/>
      <c r="D30" s="2"/>
      <c r="E30" s="2"/>
      <c r="F30" s="2"/>
      <c r="G30" s="2"/>
      <c r="H30" s="2"/>
      <c r="I30" s="2"/>
      <c r="J30" s="2"/>
    </row>
    <row r="31" spans="1:10" ht="42" customHeight="1">
      <c r="A31" s="2"/>
      <c r="B31" s="12"/>
      <c r="C31" s="2"/>
      <c r="D31" s="2"/>
      <c r="E31" s="2"/>
      <c r="F31" s="2"/>
      <c r="G31" s="2"/>
      <c r="H31" s="2"/>
      <c r="I31" s="2"/>
      <c r="J31" s="2"/>
    </row>
    <row r="32" spans="1:10" ht="42" customHeight="1">
      <c r="A32" s="2"/>
      <c r="B32" s="12"/>
      <c r="C32" s="2"/>
      <c r="D32" s="2"/>
      <c r="E32" s="2"/>
      <c r="F32" s="2"/>
      <c r="G32" s="2"/>
      <c r="H32" s="2"/>
      <c r="I32" s="2"/>
      <c r="J32" s="2"/>
    </row>
    <row r="33" spans="1:10" ht="42" customHeight="1">
      <c r="A33" s="2"/>
      <c r="B33" s="12"/>
      <c r="C33" s="2"/>
      <c r="D33" s="2"/>
      <c r="E33" s="2"/>
      <c r="F33" s="2"/>
      <c r="G33" s="2"/>
      <c r="H33" s="2"/>
      <c r="I33" s="2"/>
      <c r="J33" s="2"/>
    </row>
    <row r="34" spans="1:10" ht="42" customHeight="1">
      <c r="A34" s="2"/>
      <c r="B34" s="12"/>
      <c r="C34" s="2"/>
      <c r="D34" s="2"/>
      <c r="E34" s="2"/>
      <c r="F34" s="2"/>
      <c r="G34" s="2"/>
      <c r="H34" s="2"/>
      <c r="I34" s="2"/>
      <c r="J34" s="2"/>
    </row>
    <row r="35" spans="1:10" ht="42" customHeight="1">
      <c r="A35" s="2"/>
      <c r="B35" s="12"/>
      <c r="C35" s="2"/>
      <c r="D35" s="2"/>
      <c r="E35" s="2"/>
      <c r="F35" s="2"/>
      <c r="G35" s="2"/>
      <c r="H35" s="2"/>
      <c r="I35" s="2"/>
      <c r="J35" s="2"/>
    </row>
    <row r="36" spans="1:10" ht="42" customHeight="1">
      <c r="A36" s="2"/>
      <c r="B36" s="12"/>
      <c r="C36" s="2"/>
      <c r="D36" s="2"/>
      <c r="E36" s="2"/>
      <c r="F36" s="2"/>
      <c r="G36" s="2"/>
      <c r="H36" s="2"/>
      <c r="I36" s="2"/>
      <c r="J36" s="2"/>
    </row>
    <row r="37" spans="1:10" ht="42" customHeight="1">
      <c r="A37" s="2"/>
      <c r="B37" s="12"/>
      <c r="C37" s="2"/>
      <c r="D37" s="2"/>
      <c r="E37" s="2"/>
      <c r="F37" s="2"/>
      <c r="G37" s="2"/>
      <c r="H37" s="2"/>
      <c r="I37" s="2"/>
      <c r="J37" s="2"/>
    </row>
    <row r="38" spans="1:10" ht="42" customHeight="1">
      <c r="A38" s="2"/>
      <c r="B38" s="12"/>
      <c r="C38" s="2"/>
      <c r="D38" s="2"/>
      <c r="E38" s="2"/>
      <c r="F38" s="2"/>
      <c r="G38" s="2"/>
      <c r="H38" s="2"/>
      <c r="I38" s="2"/>
      <c r="J38" s="2"/>
    </row>
    <row r="39" spans="1:10" ht="42" customHeight="1">
      <c r="A39" s="2"/>
      <c r="B39" s="12"/>
      <c r="C39" s="2"/>
      <c r="D39" s="2"/>
      <c r="E39" s="2"/>
      <c r="F39" s="2"/>
      <c r="G39" s="2"/>
      <c r="H39" s="2"/>
      <c r="I39" s="2"/>
      <c r="J39" s="2"/>
    </row>
    <row r="40" spans="1:10" ht="42" customHeight="1">
      <c r="A40" s="2"/>
      <c r="B40" s="12"/>
      <c r="C40" s="2"/>
      <c r="D40" s="2"/>
      <c r="E40" s="2"/>
      <c r="F40" s="2"/>
      <c r="G40" s="2"/>
      <c r="H40" s="2"/>
      <c r="I40" s="2"/>
      <c r="J40" s="2"/>
    </row>
    <row r="41" spans="1:10" ht="42" customHeight="1">
      <c r="A41" s="2"/>
      <c r="B41" s="12"/>
      <c r="C41" s="2"/>
      <c r="D41" s="2"/>
      <c r="E41" s="2"/>
      <c r="F41" s="2"/>
      <c r="G41" s="2"/>
      <c r="H41" s="2"/>
      <c r="I41" s="2"/>
      <c r="J41" s="2"/>
    </row>
    <row r="42" spans="1:10" ht="42" customHeight="1">
      <c r="A42" s="2"/>
      <c r="B42" s="12"/>
      <c r="C42" s="2"/>
      <c r="D42" s="2"/>
      <c r="E42" s="2"/>
      <c r="F42" s="2"/>
      <c r="G42" s="2"/>
      <c r="H42" s="2"/>
      <c r="I42" s="2"/>
      <c r="J42" s="2"/>
    </row>
    <row r="43" spans="1:10" ht="42" customHeight="1">
      <c r="A43" s="2"/>
      <c r="B43" s="12"/>
      <c r="C43" s="2"/>
      <c r="D43" s="2"/>
      <c r="E43" s="2"/>
      <c r="F43" s="2"/>
      <c r="G43" s="2"/>
      <c r="H43" s="2"/>
      <c r="I43" s="2"/>
      <c r="J43" s="2"/>
    </row>
    <row r="44" spans="1:10" ht="42" customHeight="1">
      <c r="A44" s="2"/>
      <c r="B44" s="12"/>
      <c r="C44" s="2"/>
      <c r="D44" s="2"/>
      <c r="E44" s="2"/>
      <c r="F44" s="2"/>
      <c r="G44" s="2"/>
      <c r="H44" s="2"/>
      <c r="I44" s="2"/>
      <c r="J44" s="2"/>
    </row>
    <row r="45" spans="1:10" ht="42" customHeight="1">
      <c r="A45" s="2"/>
      <c r="B45" s="12"/>
      <c r="C45" s="2"/>
      <c r="D45" s="2"/>
      <c r="E45" s="2"/>
      <c r="F45" s="2"/>
      <c r="G45" s="2"/>
      <c r="H45" s="2"/>
      <c r="I45" s="2"/>
      <c r="J45" s="2"/>
    </row>
    <row r="46" spans="1:10" ht="42" customHeight="1">
      <c r="A46" s="2"/>
      <c r="B46" s="12"/>
      <c r="C46" s="2"/>
      <c r="D46" s="2"/>
      <c r="E46" s="2"/>
      <c r="F46" s="2"/>
      <c r="G46" s="2"/>
      <c r="H46" s="2"/>
      <c r="I46" s="2"/>
      <c r="J46" s="2"/>
    </row>
    <row r="47" spans="1:10" ht="42" customHeight="1">
      <c r="A47" s="2"/>
      <c r="B47" s="12"/>
      <c r="C47" s="2"/>
      <c r="D47" s="2"/>
      <c r="E47" s="2"/>
      <c r="F47" s="2"/>
      <c r="G47" s="2"/>
      <c r="H47" s="2"/>
      <c r="I47" s="2"/>
      <c r="J47" s="2"/>
    </row>
    <row r="48" spans="1:10" ht="42" customHeight="1">
      <c r="A48" s="2"/>
      <c r="B48" s="12"/>
      <c r="C48" s="2"/>
      <c r="D48" s="2"/>
      <c r="E48" s="2"/>
      <c r="F48" s="2"/>
      <c r="G48" s="2"/>
      <c r="H48" s="2"/>
      <c r="I48" s="2"/>
      <c r="J48" s="2"/>
    </row>
    <row r="49" spans="1:10" ht="42" customHeight="1">
      <c r="A49" s="2"/>
      <c r="B49" s="12"/>
      <c r="C49" s="2"/>
      <c r="D49" s="2"/>
      <c r="E49" s="2"/>
      <c r="F49" s="2"/>
      <c r="G49" s="2"/>
      <c r="H49" s="2"/>
      <c r="I49" s="2"/>
      <c r="J49" s="2"/>
    </row>
    <row r="50" spans="1:10" ht="42" customHeight="1">
      <c r="A50" s="2"/>
      <c r="B50" s="12"/>
      <c r="C50" s="2"/>
      <c r="D50" s="2"/>
      <c r="E50" s="2"/>
      <c r="F50" s="2"/>
      <c r="G50" s="2"/>
      <c r="H50" s="2"/>
      <c r="I50" s="2"/>
      <c r="J50" s="2"/>
    </row>
    <row r="51" spans="1:10" ht="42" customHeight="1">
      <c r="A51" s="2"/>
      <c r="B51" s="12"/>
      <c r="C51" s="2"/>
      <c r="D51" s="2"/>
      <c r="E51" s="2"/>
      <c r="F51" s="2"/>
      <c r="G51" s="2"/>
      <c r="H51" s="2"/>
      <c r="I51" s="2"/>
      <c r="J51" s="2"/>
    </row>
    <row r="52" spans="1:10" ht="42" customHeight="1">
      <c r="A52" s="2"/>
      <c r="B52" s="12"/>
      <c r="C52" s="2"/>
      <c r="D52" s="2"/>
      <c r="E52" s="2"/>
      <c r="F52" s="2"/>
      <c r="G52" s="2"/>
      <c r="H52" s="2"/>
      <c r="I52" s="2"/>
      <c r="J52" s="2"/>
    </row>
    <row r="53" spans="1:10" ht="42" customHeight="1">
      <c r="A53" s="2"/>
      <c r="B53" s="12"/>
      <c r="C53" s="2"/>
      <c r="D53" s="2"/>
      <c r="E53" s="2"/>
      <c r="F53" s="2"/>
      <c r="G53" s="2"/>
      <c r="H53" s="2"/>
      <c r="I53" s="2"/>
      <c r="J53" s="2"/>
    </row>
    <row r="54" spans="1:10" ht="42" customHeight="1">
      <c r="A54" s="2"/>
      <c r="B54" s="12"/>
      <c r="C54" s="2"/>
      <c r="D54" s="2"/>
      <c r="E54" s="2"/>
      <c r="F54" s="2"/>
      <c r="G54" s="2"/>
      <c r="H54" s="2"/>
      <c r="I54" s="2"/>
      <c r="J54" s="2"/>
    </row>
    <row r="55" spans="1:10" ht="42" customHeight="1">
      <c r="A55" s="2"/>
      <c r="B55" s="12"/>
      <c r="C55" s="2"/>
      <c r="D55" s="2"/>
      <c r="E55" s="2"/>
      <c r="F55" s="2"/>
      <c r="G55" s="2"/>
      <c r="H55" s="2"/>
      <c r="I55" s="2"/>
      <c r="J55" s="2"/>
    </row>
    <row r="56" spans="1:10" ht="42" customHeight="1">
      <c r="A56" s="2"/>
      <c r="B56" s="12"/>
      <c r="C56" s="2"/>
      <c r="D56" s="2"/>
      <c r="E56" s="2"/>
      <c r="F56" s="2"/>
      <c r="G56" s="2"/>
      <c r="H56" s="2"/>
      <c r="I56" s="2"/>
      <c r="J56" s="2"/>
    </row>
    <row r="57" spans="1:10" ht="42" customHeight="1">
      <c r="A57" s="2"/>
      <c r="B57" s="12"/>
      <c r="C57" s="2"/>
      <c r="D57" s="2"/>
      <c r="E57" s="2"/>
      <c r="F57" s="2"/>
      <c r="G57" s="2"/>
      <c r="H57" s="2"/>
      <c r="I57" s="2"/>
      <c r="J57" s="2"/>
    </row>
    <row r="58" spans="1:10" ht="42" customHeight="1">
      <c r="A58" s="2"/>
      <c r="B58" s="12"/>
      <c r="C58" s="2"/>
      <c r="D58" s="2"/>
      <c r="E58" s="2"/>
      <c r="F58" s="2"/>
      <c r="G58" s="2"/>
      <c r="H58" s="2"/>
      <c r="I58" s="2"/>
      <c r="J58" s="2"/>
    </row>
    <row r="59" spans="1:10" ht="42" customHeight="1">
      <c r="A59" s="2"/>
      <c r="B59" s="12"/>
      <c r="C59" s="2"/>
      <c r="D59" s="2"/>
      <c r="E59" s="2"/>
      <c r="F59" s="2"/>
      <c r="G59" s="2"/>
      <c r="H59" s="2"/>
      <c r="I59" s="2"/>
      <c r="J59" s="2"/>
    </row>
    <row r="60" spans="1:10" ht="42" customHeight="1">
      <c r="A60" s="2"/>
      <c r="B60" s="12"/>
      <c r="C60" s="2"/>
      <c r="D60" s="2"/>
      <c r="E60" s="2"/>
      <c r="F60" s="2"/>
      <c r="G60" s="2"/>
      <c r="H60" s="2"/>
      <c r="I60" s="2"/>
      <c r="J60" s="2"/>
    </row>
    <row r="61" spans="1:10" ht="42" customHeight="1">
      <c r="A61" s="2"/>
      <c r="B61" s="12"/>
      <c r="C61" s="2"/>
      <c r="D61" s="2"/>
      <c r="E61" s="2"/>
      <c r="F61" s="2"/>
      <c r="G61" s="2"/>
      <c r="H61" s="2"/>
      <c r="I61" s="2"/>
      <c r="J61" s="2"/>
    </row>
    <row r="62" spans="1:10" ht="42" customHeight="1">
      <c r="A62" s="2"/>
      <c r="B62" s="12"/>
      <c r="C62" s="2"/>
      <c r="D62" s="2"/>
      <c r="E62" s="2"/>
      <c r="F62" s="2"/>
      <c r="G62" s="2"/>
      <c r="H62" s="2"/>
      <c r="I62" s="2"/>
      <c r="J62" s="2"/>
    </row>
    <row r="63" spans="1:10" ht="42" customHeight="1">
      <c r="A63" s="2"/>
      <c r="B63" s="12"/>
      <c r="C63" s="2"/>
      <c r="D63" s="2"/>
      <c r="E63" s="2"/>
      <c r="F63" s="2"/>
      <c r="G63" s="2"/>
      <c r="H63" s="2"/>
      <c r="I63" s="2"/>
      <c r="J63" s="2"/>
    </row>
    <row r="64" spans="1:10" ht="42" customHeight="1">
      <c r="A64" s="2"/>
      <c r="B64" s="12"/>
      <c r="C64" s="2"/>
      <c r="D64" s="2"/>
      <c r="E64" s="2"/>
      <c r="F64" s="2"/>
      <c r="G64" s="2"/>
      <c r="H64" s="2"/>
      <c r="I64" s="2"/>
      <c r="J64" s="2"/>
    </row>
    <row r="65" spans="1:10" ht="42" customHeight="1">
      <c r="A65" s="2"/>
      <c r="B65" s="12"/>
      <c r="C65" s="2"/>
      <c r="D65" s="2"/>
      <c r="E65" s="2"/>
      <c r="F65" s="2"/>
      <c r="G65" s="2"/>
      <c r="H65" s="2"/>
      <c r="I65" s="2"/>
      <c r="J65" s="2"/>
    </row>
    <row r="66" spans="1:10" ht="42" customHeight="1">
      <c r="A66" s="2"/>
      <c r="B66" s="12"/>
      <c r="C66" s="2"/>
      <c r="D66" s="2"/>
      <c r="E66" s="2"/>
      <c r="F66" s="2"/>
      <c r="G66" s="2"/>
      <c r="H66" s="2"/>
      <c r="I66" s="2"/>
      <c r="J66" s="2"/>
    </row>
    <row r="67" spans="1:10" ht="42" customHeight="1">
      <c r="A67" s="2"/>
      <c r="B67" s="12"/>
      <c r="C67" s="2"/>
      <c r="D67" s="2"/>
      <c r="E67" s="2"/>
      <c r="F67" s="2"/>
      <c r="G67" s="2"/>
      <c r="H67" s="2"/>
      <c r="I67" s="2"/>
      <c r="J67" s="2"/>
    </row>
    <row r="68" spans="1:10" ht="42" customHeight="1">
      <c r="A68" s="2"/>
      <c r="B68" s="12"/>
      <c r="C68" s="2"/>
      <c r="D68" s="2"/>
      <c r="E68" s="2"/>
      <c r="F68" s="2"/>
      <c r="G68" s="2"/>
      <c r="H68" s="2"/>
      <c r="I68" s="2"/>
      <c r="J68" s="2"/>
    </row>
    <row r="69" spans="1:10" ht="42" customHeight="1">
      <c r="A69" s="2"/>
      <c r="B69" s="12"/>
      <c r="C69" s="2"/>
      <c r="D69" s="2"/>
      <c r="E69" s="2"/>
      <c r="F69" s="2"/>
      <c r="G69" s="2"/>
      <c r="H69" s="2"/>
      <c r="I69" s="2"/>
      <c r="J69" s="2"/>
    </row>
    <row r="70" spans="1:10" ht="42" customHeight="1">
      <c r="A70" s="2"/>
      <c r="B70" s="12"/>
      <c r="C70" s="2"/>
      <c r="D70" s="2"/>
      <c r="E70" s="2"/>
      <c r="F70" s="2"/>
      <c r="G70" s="2"/>
      <c r="H70" s="2"/>
      <c r="I70" s="2"/>
      <c r="J70" s="2"/>
    </row>
    <row r="71" spans="1:10" ht="42" customHeight="1">
      <c r="A71" s="2"/>
      <c r="B71" s="12"/>
      <c r="C71" s="2"/>
      <c r="D71" s="2"/>
      <c r="E71" s="2"/>
      <c r="F71" s="2"/>
      <c r="G71" s="2"/>
      <c r="H71" s="2"/>
      <c r="I71" s="2"/>
      <c r="J71" s="2"/>
    </row>
    <row r="72" spans="1:10" ht="42" customHeight="1">
      <c r="A72" s="2"/>
      <c r="B72" s="12"/>
      <c r="C72" s="2"/>
      <c r="D72" s="2"/>
      <c r="E72" s="2"/>
      <c r="F72" s="2"/>
      <c r="G72" s="2"/>
      <c r="H72" s="2"/>
      <c r="I72" s="2"/>
      <c r="J72" s="2"/>
    </row>
    <row r="73" spans="1:10" ht="42" customHeight="1">
      <c r="A73" s="2"/>
      <c r="B73" s="12"/>
      <c r="C73" s="2"/>
      <c r="D73" s="2"/>
      <c r="E73" s="2"/>
      <c r="F73" s="2"/>
      <c r="G73" s="2"/>
      <c r="H73" s="2"/>
      <c r="I73" s="2"/>
      <c r="J73" s="2"/>
    </row>
    <row r="74" spans="1:10" ht="42" customHeight="1">
      <c r="A74" s="2"/>
      <c r="B74" s="12"/>
      <c r="C74" s="2"/>
      <c r="D74" s="2"/>
      <c r="E74" s="2"/>
      <c r="F74" s="2"/>
      <c r="G74" s="2"/>
      <c r="H74" s="2"/>
      <c r="I74" s="2"/>
      <c r="J74" s="2"/>
    </row>
    <row r="75" spans="1:10" ht="42" customHeight="1">
      <c r="A75" s="2"/>
      <c r="B75" s="12"/>
      <c r="C75" s="2"/>
      <c r="D75" s="2"/>
      <c r="E75" s="2"/>
      <c r="F75" s="2"/>
      <c r="G75" s="2"/>
      <c r="H75" s="2"/>
      <c r="I75" s="2"/>
      <c r="J75" s="2"/>
    </row>
    <row r="76" spans="1:10" ht="42" customHeight="1">
      <c r="A76" s="2"/>
      <c r="B76" s="12"/>
      <c r="C76" s="2"/>
      <c r="D76" s="2"/>
      <c r="E76" s="2"/>
      <c r="F76" s="2"/>
      <c r="G76" s="2"/>
      <c r="H76" s="2"/>
      <c r="I76" s="2"/>
      <c r="J76" s="2"/>
    </row>
    <row r="77" spans="1:10" ht="42" customHeight="1">
      <c r="A77" s="2"/>
      <c r="B77" s="12"/>
      <c r="C77" s="2"/>
      <c r="D77" s="2"/>
      <c r="E77" s="2"/>
      <c r="F77" s="2"/>
      <c r="G77" s="2"/>
      <c r="H77" s="2"/>
      <c r="I77" s="2"/>
      <c r="J77" s="2"/>
    </row>
    <row r="78" spans="1:10" ht="42" customHeight="1">
      <c r="A78" s="2"/>
      <c r="B78" s="12"/>
      <c r="C78" s="2"/>
      <c r="D78" s="2"/>
      <c r="E78" s="2"/>
      <c r="F78" s="2"/>
      <c r="G78" s="2"/>
      <c r="H78" s="2"/>
      <c r="I78" s="2"/>
      <c r="J78" s="2"/>
    </row>
    <row r="79" spans="1:10" ht="42" customHeight="1">
      <c r="A79" s="2"/>
      <c r="B79" s="12"/>
      <c r="C79" s="2"/>
      <c r="D79" s="2"/>
      <c r="E79" s="2"/>
      <c r="F79" s="2"/>
      <c r="G79" s="2"/>
      <c r="H79" s="2"/>
      <c r="I79" s="2"/>
      <c r="J79" s="2"/>
    </row>
    <row r="80" spans="1:10" ht="42" customHeight="1">
      <c r="A80" s="2"/>
      <c r="B80" s="12"/>
      <c r="C80" s="2"/>
      <c r="D80" s="2"/>
      <c r="E80" s="2"/>
      <c r="F80" s="2"/>
      <c r="G80" s="2"/>
      <c r="H80" s="2"/>
      <c r="I80" s="2"/>
      <c r="J80" s="2"/>
    </row>
    <row r="81" spans="1:10" ht="42" customHeight="1">
      <c r="A81" s="2"/>
      <c r="B81" s="12"/>
      <c r="C81" s="2"/>
      <c r="D81" s="2"/>
      <c r="E81" s="2"/>
      <c r="F81" s="2"/>
      <c r="G81" s="2"/>
      <c r="H81" s="2"/>
      <c r="I81" s="2"/>
      <c r="J81" s="2"/>
    </row>
    <row r="82" spans="1:10" ht="42" customHeight="1">
      <c r="A82" s="2"/>
      <c r="B82" s="12"/>
      <c r="C82" s="2"/>
      <c r="D82" s="2"/>
      <c r="E82" s="2"/>
      <c r="F82" s="2"/>
      <c r="G82" s="2"/>
      <c r="H82" s="2"/>
      <c r="I82" s="2"/>
      <c r="J82" s="2"/>
    </row>
    <row r="83" spans="1:10" ht="42" customHeight="1">
      <c r="A83" s="2"/>
      <c r="B83" s="12"/>
      <c r="C83" s="2"/>
      <c r="D83" s="2"/>
      <c r="E83" s="2"/>
      <c r="F83" s="2"/>
      <c r="G83" s="2"/>
      <c r="H83" s="2"/>
      <c r="I83" s="2"/>
      <c r="J83" s="2"/>
    </row>
    <row r="84" spans="1:10" ht="42" customHeight="1">
      <c r="A84" s="2"/>
      <c r="B84" s="12"/>
      <c r="C84" s="2"/>
      <c r="D84" s="2"/>
      <c r="E84" s="2"/>
      <c r="F84" s="2"/>
      <c r="G84" s="2"/>
      <c r="H84" s="2"/>
      <c r="I84" s="2"/>
      <c r="J84" s="2"/>
    </row>
    <row r="85" spans="1:10" ht="42" customHeight="1">
      <c r="A85" s="2"/>
      <c r="B85" s="12"/>
      <c r="C85" s="2"/>
      <c r="D85" s="2"/>
      <c r="E85" s="2"/>
      <c r="F85" s="2"/>
      <c r="G85" s="2"/>
      <c r="H85" s="2"/>
      <c r="I85" s="2"/>
      <c r="J85" s="2"/>
    </row>
    <row r="86" spans="1:10" ht="42" customHeight="1">
      <c r="A86" s="2"/>
      <c r="B86" s="12"/>
      <c r="C86" s="2"/>
      <c r="D86" s="2"/>
      <c r="E86" s="2"/>
      <c r="F86" s="2"/>
      <c r="G86" s="2"/>
      <c r="H86" s="2"/>
      <c r="I86" s="2"/>
      <c r="J86" s="2"/>
    </row>
    <row r="87" spans="1:10" ht="42" customHeight="1">
      <c r="A87" s="2"/>
      <c r="B87" s="12"/>
      <c r="C87" s="2"/>
      <c r="D87" s="2"/>
      <c r="E87" s="2"/>
      <c r="F87" s="2"/>
      <c r="G87" s="2"/>
      <c r="H87" s="2"/>
      <c r="I87" s="2"/>
      <c r="J87" s="2"/>
    </row>
    <row r="88" spans="1:10" ht="42" customHeight="1">
      <c r="A88" s="2"/>
      <c r="B88" s="12"/>
      <c r="C88" s="2"/>
      <c r="D88" s="2"/>
      <c r="E88" s="2"/>
      <c r="F88" s="2"/>
      <c r="G88" s="2"/>
      <c r="H88" s="2"/>
      <c r="I88" s="2"/>
      <c r="J88" s="2"/>
    </row>
    <row r="89" spans="1:10" ht="42" customHeight="1">
      <c r="A89" s="2"/>
      <c r="B89" s="12"/>
      <c r="C89" s="2"/>
      <c r="D89" s="2"/>
      <c r="E89" s="2"/>
      <c r="F89" s="2"/>
      <c r="G89" s="2"/>
      <c r="H89" s="2"/>
      <c r="I89" s="2"/>
      <c r="J89" s="2"/>
    </row>
    <row r="90" spans="1:10" ht="42" customHeight="1">
      <c r="A90" s="2"/>
      <c r="B90" s="12"/>
      <c r="C90" s="2"/>
      <c r="D90" s="2"/>
      <c r="E90" s="2"/>
      <c r="F90" s="2"/>
      <c r="G90" s="2"/>
      <c r="H90" s="2"/>
      <c r="I90" s="2"/>
      <c r="J90" s="2"/>
    </row>
    <row r="91" spans="1:10" ht="42" customHeight="1">
      <c r="A91" s="2"/>
      <c r="B91" s="12"/>
      <c r="C91" s="2"/>
      <c r="D91" s="2"/>
      <c r="E91" s="2"/>
      <c r="F91" s="2"/>
      <c r="G91" s="2"/>
      <c r="H91" s="2"/>
      <c r="I91" s="2"/>
      <c r="J91" s="2"/>
    </row>
    <row r="92" spans="1:10" ht="42" customHeight="1">
      <c r="A92" s="2"/>
      <c r="B92" s="12"/>
      <c r="C92" s="2"/>
      <c r="D92" s="2"/>
      <c r="E92" s="2"/>
      <c r="F92" s="2"/>
      <c r="G92" s="2"/>
      <c r="H92" s="2"/>
      <c r="I92" s="2"/>
      <c r="J92" s="2"/>
    </row>
    <row r="93" spans="1:10" ht="42" customHeight="1">
      <c r="A93" s="2"/>
      <c r="B93" s="12"/>
      <c r="C93" s="2"/>
      <c r="D93" s="2"/>
      <c r="E93" s="2"/>
      <c r="F93" s="2"/>
      <c r="G93" s="2"/>
      <c r="H93" s="2"/>
      <c r="I93" s="2"/>
      <c r="J93" s="2"/>
    </row>
    <row r="94" spans="1:10" ht="42" customHeight="1">
      <c r="A94" s="2"/>
      <c r="B94" s="12"/>
      <c r="C94" s="2"/>
      <c r="D94" s="2"/>
      <c r="E94" s="2"/>
      <c r="F94" s="2"/>
      <c r="G94" s="2"/>
      <c r="H94" s="2"/>
      <c r="I94" s="2"/>
      <c r="J94" s="2"/>
    </row>
    <row r="95" spans="1:10" ht="42" customHeight="1">
      <c r="A95" s="2"/>
      <c r="B95" s="12"/>
      <c r="C95" s="2"/>
      <c r="D95" s="2"/>
      <c r="E95" s="2"/>
      <c r="F95" s="2"/>
      <c r="G95" s="2"/>
      <c r="H95" s="2"/>
      <c r="I95" s="2"/>
      <c r="J95" s="2"/>
    </row>
    <row r="96" spans="1:10" ht="42" customHeight="1">
      <c r="A96" s="2"/>
      <c r="B96" s="12"/>
      <c r="C96" s="2"/>
      <c r="D96" s="2"/>
      <c r="E96" s="2"/>
      <c r="F96" s="2"/>
      <c r="G96" s="2"/>
      <c r="H96" s="2"/>
      <c r="I96" s="2"/>
      <c r="J96" s="2"/>
    </row>
    <row r="97" spans="1:10" ht="42" customHeight="1">
      <c r="A97" s="2"/>
      <c r="B97" s="12"/>
      <c r="C97" s="2"/>
      <c r="D97" s="2"/>
      <c r="E97" s="2"/>
      <c r="F97" s="2"/>
      <c r="G97" s="2"/>
      <c r="H97" s="2"/>
      <c r="I97" s="2"/>
      <c r="J97" s="2"/>
    </row>
    <row r="98" spans="1:10" ht="42" customHeight="1">
      <c r="A98" s="2"/>
      <c r="B98" s="12"/>
      <c r="C98" s="2"/>
      <c r="D98" s="2"/>
      <c r="E98" s="2"/>
      <c r="F98" s="2"/>
      <c r="G98" s="2"/>
      <c r="H98" s="2"/>
      <c r="I98" s="2"/>
      <c r="J98" s="2"/>
    </row>
    <row r="99" spans="1:10" ht="42" customHeight="1">
      <c r="A99" s="2"/>
      <c r="B99" s="12"/>
      <c r="C99" s="2"/>
      <c r="D99" s="2"/>
      <c r="E99" s="2"/>
      <c r="F99" s="2"/>
      <c r="G99" s="2"/>
      <c r="H99" s="2"/>
      <c r="I99" s="2"/>
      <c r="J99" s="2"/>
    </row>
    <row r="100" spans="1:10" ht="42" customHeight="1">
      <c r="A100" s="2"/>
      <c r="B100" s="12"/>
      <c r="C100" s="2"/>
      <c r="D100" s="2"/>
      <c r="E100" s="2"/>
      <c r="F100" s="2"/>
      <c r="G100" s="2"/>
      <c r="H100" s="2"/>
      <c r="I100" s="2"/>
      <c r="J100" s="2"/>
    </row>
    <row r="101" spans="1:10" ht="42" customHeight="1">
      <c r="A101" s="2"/>
      <c r="B101" s="12"/>
      <c r="C101" s="2"/>
      <c r="D101" s="2"/>
      <c r="E101" s="2"/>
      <c r="F101" s="2"/>
      <c r="G101" s="2"/>
      <c r="H101" s="2"/>
      <c r="I101" s="2"/>
      <c r="J101" s="2"/>
    </row>
    <row r="102" spans="1:10" ht="42" customHeight="1">
      <c r="A102" s="2"/>
      <c r="B102" s="12"/>
      <c r="C102" s="2"/>
      <c r="D102" s="2"/>
      <c r="E102" s="2"/>
      <c r="F102" s="2"/>
      <c r="G102" s="2"/>
      <c r="H102" s="2"/>
      <c r="I102" s="2"/>
      <c r="J102" s="2"/>
    </row>
    <row r="103" spans="1:10" ht="42" customHeight="1">
      <c r="A103" s="2"/>
      <c r="B103" s="12"/>
      <c r="C103" s="2"/>
      <c r="D103" s="2"/>
      <c r="E103" s="2"/>
      <c r="F103" s="2"/>
      <c r="G103" s="2"/>
      <c r="H103" s="2"/>
      <c r="I103" s="2"/>
      <c r="J103" s="2"/>
    </row>
    <row r="104" spans="1:10" ht="42" customHeight="1">
      <c r="A104" s="2"/>
      <c r="B104" s="12"/>
      <c r="C104" s="2"/>
      <c r="D104" s="2"/>
      <c r="E104" s="2"/>
      <c r="F104" s="2"/>
      <c r="G104" s="2"/>
      <c r="H104" s="2"/>
      <c r="I104" s="2"/>
      <c r="J104" s="2"/>
    </row>
  </sheetData>
  <mergeCells count="2">
    <mergeCell ref="A1:J1"/>
    <mergeCell ref="A2:J2"/>
  </mergeCells>
  <dataValidations count="1">
    <dataValidation type="list" sqref="C5:C104" xr:uid="{00000000-0002-0000-0200-000001000000}">
      <formula1>"Отзывы,Сайт конкурента,Тарифы,Описание функций,Кейс,FAQ,Документация,Реклама,Сообщество"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Справочники!$A$4:$A$8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4"/>
  <sheetViews>
    <sheetView workbookViewId="0"/>
  </sheetViews>
  <sheetFormatPr defaultRowHeight="14.25"/>
  <cols>
    <col min="1" max="1" width="14" customWidth="1"/>
    <col min="2" max="2" width="20" customWidth="1"/>
    <col min="3" max="3" width="22" customWidth="1"/>
    <col min="4" max="4" width="58" customWidth="1"/>
    <col min="5" max="5" width="13" customWidth="1"/>
    <col min="6" max="6" width="15" customWidth="1"/>
    <col min="7" max="7" width="13" customWidth="1"/>
    <col min="8" max="8" width="22" customWidth="1"/>
    <col min="9" max="9" width="18" customWidth="1"/>
    <col min="10" max="10" width="17" customWidth="1"/>
    <col min="11" max="12" width="16" customWidth="1"/>
    <col min="13" max="13" width="34" customWidth="1"/>
  </cols>
  <sheetData>
    <row r="1" spans="1:13" ht="27.95" customHeight="1">
      <c r="A1" s="17" t="s">
        <v>135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3.950000000000003" customHeight="1">
      <c r="A2" s="19" t="s">
        <v>136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33.950000000000003" customHeight="1">
      <c r="A4" s="1" t="s">
        <v>137</v>
      </c>
      <c r="B4" s="1" t="s">
        <v>138</v>
      </c>
      <c r="C4" s="1" t="s">
        <v>139</v>
      </c>
      <c r="D4" s="1" t="s">
        <v>140</v>
      </c>
      <c r="E4" s="1" t="s">
        <v>141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</v>
      </c>
      <c r="M4" s="1" t="s">
        <v>130</v>
      </c>
    </row>
    <row r="5" spans="1:13" ht="42" customHeight="1">
      <c r="A5" s="2" t="s">
        <v>148</v>
      </c>
      <c r="B5" s="2" t="s">
        <v>27</v>
      </c>
      <c r="C5" s="2" t="s">
        <v>16</v>
      </c>
      <c r="D5" s="2" t="s">
        <v>336</v>
      </c>
      <c r="E5" s="2">
        <v>5</v>
      </c>
      <c r="F5" s="2">
        <v>5</v>
      </c>
      <c r="G5" s="2">
        <v>5</v>
      </c>
      <c r="H5" s="2">
        <v>5</v>
      </c>
      <c r="I5" s="2">
        <v>2</v>
      </c>
      <c r="J5" s="2">
        <v>4</v>
      </c>
      <c r="K5" s="2">
        <f t="shared" ref="K5:K36" si="0">IF(COUNTA(E5:J5)=0,"",ROUND(((E5*0.18)+(F5*0.22)+(G5*0.18)+(H5*0.2)+(I5*0.14)+(J5*0.08))*20,0))</f>
        <v>90</v>
      </c>
      <c r="L5" s="2" t="str">
        <f t="shared" ref="L5:L36" si="1">IF(K5="","",IF(K5&gt;=80,"Критический",IF(K5&gt;=65,"Высокий",IF(K5&gt;=45,"Средний","Низкий"))))</f>
        <v>Критический</v>
      </c>
      <c r="M5" s="2" t="s">
        <v>337</v>
      </c>
    </row>
    <row r="6" spans="1:13" ht="42" customHeight="1">
      <c r="A6" s="2" t="s">
        <v>149</v>
      </c>
      <c r="B6" s="2" t="s">
        <v>15</v>
      </c>
      <c r="C6" s="2" t="s">
        <v>51</v>
      </c>
      <c r="D6" s="2" t="s">
        <v>338</v>
      </c>
      <c r="E6" s="2">
        <v>3</v>
      </c>
      <c r="F6" s="2">
        <v>4</v>
      </c>
      <c r="G6" s="2">
        <v>3</v>
      </c>
      <c r="H6" s="2">
        <v>4</v>
      </c>
      <c r="I6" s="2">
        <v>4</v>
      </c>
      <c r="J6" s="2">
        <v>3</v>
      </c>
      <c r="K6" s="2">
        <f t="shared" si="0"/>
        <v>71</v>
      </c>
      <c r="L6" s="2" t="str">
        <f t="shared" si="1"/>
        <v>Высокий</v>
      </c>
      <c r="M6" s="2" t="s">
        <v>339</v>
      </c>
    </row>
    <row r="7" spans="1:13" ht="42" customHeight="1">
      <c r="A7" s="2" t="s">
        <v>340</v>
      </c>
      <c r="B7" s="2" t="s">
        <v>15</v>
      </c>
      <c r="C7" s="2" t="s">
        <v>68</v>
      </c>
      <c r="D7" s="2" t="s">
        <v>341</v>
      </c>
      <c r="E7" s="2">
        <v>3</v>
      </c>
      <c r="F7" s="2">
        <v>3</v>
      </c>
      <c r="G7" s="2">
        <v>2</v>
      </c>
      <c r="H7" s="2">
        <v>3</v>
      </c>
      <c r="I7" s="2">
        <v>4</v>
      </c>
      <c r="J7" s="2">
        <v>4</v>
      </c>
      <c r="K7" s="2">
        <f t="shared" si="0"/>
        <v>61</v>
      </c>
      <c r="L7" s="2" t="str">
        <f t="shared" si="1"/>
        <v>Средний</v>
      </c>
      <c r="M7" s="2" t="s">
        <v>342</v>
      </c>
    </row>
    <row r="8" spans="1:13" ht="42" customHeight="1">
      <c r="A8" s="2" t="s">
        <v>343</v>
      </c>
      <c r="B8" s="2" t="s">
        <v>27</v>
      </c>
      <c r="C8" s="2" t="s">
        <v>28</v>
      </c>
      <c r="D8" s="2" t="s">
        <v>344</v>
      </c>
      <c r="E8" s="2">
        <v>3</v>
      </c>
      <c r="F8" s="2">
        <v>3</v>
      </c>
      <c r="G8" s="2">
        <v>3</v>
      </c>
      <c r="H8" s="2">
        <v>4</v>
      </c>
      <c r="I8" s="2">
        <v>3</v>
      </c>
      <c r="J8" s="2">
        <v>3</v>
      </c>
      <c r="K8" s="2">
        <f t="shared" si="0"/>
        <v>64</v>
      </c>
      <c r="L8" s="2" t="str">
        <f t="shared" si="1"/>
        <v>Средний</v>
      </c>
      <c r="M8" s="2"/>
    </row>
    <row r="9" spans="1:13" ht="42" customHeight="1">
      <c r="A9" s="2" t="s">
        <v>345</v>
      </c>
      <c r="B9" s="2" t="s">
        <v>27</v>
      </c>
      <c r="C9" s="2" t="s">
        <v>16</v>
      </c>
      <c r="D9" s="2" t="s">
        <v>346</v>
      </c>
      <c r="E9" s="2">
        <v>4</v>
      </c>
      <c r="F9" s="2">
        <v>3</v>
      </c>
      <c r="G9" s="2">
        <v>4</v>
      </c>
      <c r="H9" s="2">
        <v>3</v>
      </c>
      <c r="I9" s="2">
        <v>2</v>
      </c>
      <c r="J9" s="2">
        <v>3</v>
      </c>
      <c r="K9" s="2">
        <f t="shared" si="0"/>
        <v>64</v>
      </c>
      <c r="L9" s="2" t="str">
        <f t="shared" si="1"/>
        <v>Средний</v>
      </c>
      <c r="M9" s="2" t="s">
        <v>347</v>
      </c>
    </row>
    <row r="10" spans="1:13" ht="42" customHeight="1">
      <c r="A10" s="2" t="s">
        <v>348</v>
      </c>
      <c r="B10" s="2" t="s">
        <v>27</v>
      </c>
      <c r="C10" s="2" t="s">
        <v>51</v>
      </c>
      <c r="D10" s="2" t="s">
        <v>349</v>
      </c>
      <c r="E10" s="2">
        <v>4</v>
      </c>
      <c r="F10" s="2">
        <v>2</v>
      </c>
      <c r="G10" s="2">
        <v>2</v>
      </c>
      <c r="H10" s="2">
        <v>4</v>
      </c>
      <c r="I10" s="2">
        <v>2</v>
      </c>
      <c r="J10" s="2">
        <v>3</v>
      </c>
      <c r="K10" s="2">
        <f t="shared" si="0"/>
        <v>57</v>
      </c>
      <c r="L10" s="2" t="str">
        <f t="shared" si="1"/>
        <v>Средний</v>
      </c>
      <c r="M10" s="2" t="s">
        <v>350</v>
      </c>
    </row>
    <row r="11" spans="1:13" ht="42" customHeight="1">
      <c r="A11" s="2" t="s">
        <v>351</v>
      </c>
      <c r="B11" s="2" t="s">
        <v>15</v>
      </c>
      <c r="C11" s="2" t="s">
        <v>40</v>
      </c>
      <c r="D11" s="2" t="s">
        <v>352</v>
      </c>
      <c r="E11" s="2">
        <v>3</v>
      </c>
      <c r="F11" s="2">
        <v>3</v>
      </c>
      <c r="G11" s="2">
        <v>2</v>
      </c>
      <c r="H11" s="2">
        <v>4</v>
      </c>
      <c r="I11" s="2">
        <v>4</v>
      </c>
      <c r="J11" s="2">
        <v>3</v>
      </c>
      <c r="K11" s="2">
        <f t="shared" si="0"/>
        <v>63</v>
      </c>
      <c r="L11" s="2" t="str">
        <f t="shared" si="1"/>
        <v>Средний</v>
      </c>
      <c r="M11" s="2" t="s">
        <v>353</v>
      </c>
    </row>
    <row r="12" spans="1:13" ht="42" customHeight="1">
      <c r="A12" s="2" t="s">
        <v>354</v>
      </c>
      <c r="B12" s="2" t="s">
        <v>60</v>
      </c>
      <c r="C12" s="2" t="s">
        <v>40</v>
      </c>
      <c r="D12" s="2" t="s">
        <v>355</v>
      </c>
      <c r="E12" s="2">
        <v>3</v>
      </c>
      <c r="F12" s="2">
        <v>4</v>
      </c>
      <c r="G12" s="2">
        <v>4</v>
      </c>
      <c r="H12" s="2">
        <v>4</v>
      </c>
      <c r="I12" s="2">
        <v>2</v>
      </c>
      <c r="J12" s="2">
        <v>3</v>
      </c>
      <c r="K12" s="2">
        <f t="shared" si="0"/>
        <v>69</v>
      </c>
      <c r="L12" s="2" t="str">
        <f t="shared" si="1"/>
        <v>Высокий</v>
      </c>
      <c r="M12" s="2" t="s">
        <v>356</v>
      </c>
    </row>
    <row r="13" spans="1:13" ht="42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tr">
        <f t="shared" si="0"/>
        <v/>
      </c>
      <c r="L13" s="2" t="str">
        <f t="shared" si="1"/>
        <v/>
      </c>
      <c r="M13" s="2"/>
    </row>
    <row r="14" spans="1:13" ht="4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tr">
        <f t="shared" si="0"/>
        <v/>
      </c>
      <c r="L14" s="2" t="str">
        <f t="shared" si="1"/>
        <v/>
      </c>
      <c r="M14" s="2"/>
    </row>
    <row r="15" spans="1:13" ht="4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tr">
        <f t="shared" si="0"/>
        <v/>
      </c>
      <c r="L15" s="2" t="str">
        <f t="shared" si="1"/>
        <v/>
      </c>
      <c r="M15" s="2"/>
    </row>
    <row r="16" spans="1:13" ht="4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tr">
        <f t="shared" si="0"/>
        <v/>
      </c>
      <c r="L16" s="2" t="str">
        <f t="shared" si="1"/>
        <v/>
      </c>
      <c r="M16" s="2"/>
    </row>
    <row r="17" spans="1:13" ht="4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tr">
        <f t="shared" si="0"/>
        <v/>
      </c>
      <c r="L17" s="2" t="str">
        <f t="shared" si="1"/>
        <v/>
      </c>
      <c r="M17" s="2"/>
    </row>
    <row r="18" spans="1:13" ht="4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tr">
        <f t="shared" si="0"/>
        <v/>
      </c>
      <c r="L18" s="2" t="str">
        <f t="shared" si="1"/>
        <v/>
      </c>
      <c r="M18" s="2"/>
    </row>
    <row r="19" spans="1:13" ht="4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tr">
        <f t="shared" si="0"/>
        <v/>
      </c>
      <c r="L19" s="2" t="str">
        <f t="shared" si="1"/>
        <v/>
      </c>
      <c r="M19" s="2"/>
    </row>
    <row r="20" spans="1:13" ht="4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tr">
        <f t="shared" si="0"/>
        <v/>
      </c>
      <c r="L20" s="2" t="str">
        <f t="shared" si="1"/>
        <v/>
      </c>
      <c r="M20" s="2"/>
    </row>
    <row r="21" spans="1:13" ht="4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tr">
        <f t="shared" si="0"/>
        <v/>
      </c>
      <c r="L21" s="2" t="str">
        <f t="shared" si="1"/>
        <v/>
      </c>
      <c r="M21" s="2"/>
    </row>
    <row r="22" spans="1:13" ht="4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tr">
        <f t="shared" si="0"/>
        <v/>
      </c>
      <c r="L22" s="2" t="str">
        <f t="shared" si="1"/>
        <v/>
      </c>
      <c r="M22" s="2"/>
    </row>
    <row r="23" spans="1:13" ht="4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f t="shared" si="0"/>
        <v/>
      </c>
      <c r="L23" s="2" t="str">
        <f t="shared" si="1"/>
        <v/>
      </c>
      <c r="M23" s="2"/>
    </row>
    <row r="24" spans="1:13" ht="4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 t="shared" si="0"/>
        <v/>
      </c>
      <c r="L24" s="2" t="str">
        <f t="shared" si="1"/>
        <v/>
      </c>
      <c r="M24" s="2"/>
    </row>
    <row r="25" spans="1:13" ht="4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tr">
        <f t="shared" si="0"/>
        <v/>
      </c>
      <c r="L25" s="2" t="str">
        <f t="shared" si="1"/>
        <v/>
      </c>
      <c r="M25" s="2"/>
    </row>
    <row r="26" spans="1:13" ht="42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tr">
        <f t="shared" si="0"/>
        <v/>
      </c>
      <c r="L26" s="2" t="str">
        <f t="shared" si="1"/>
        <v/>
      </c>
      <c r="M26" s="2"/>
    </row>
    <row r="27" spans="1:13" ht="4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tr">
        <f t="shared" si="0"/>
        <v/>
      </c>
      <c r="L27" s="2" t="str">
        <f t="shared" si="1"/>
        <v/>
      </c>
      <c r="M27" s="2"/>
    </row>
    <row r="28" spans="1:13" ht="4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tr">
        <f t="shared" si="0"/>
        <v/>
      </c>
      <c r="L28" s="2" t="str">
        <f t="shared" si="1"/>
        <v/>
      </c>
      <c r="M28" s="2"/>
    </row>
    <row r="29" spans="1:13" ht="4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tr">
        <f t="shared" si="0"/>
        <v/>
      </c>
      <c r="L29" s="2" t="str">
        <f t="shared" si="1"/>
        <v/>
      </c>
      <c r="M29" s="2"/>
    </row>
    <row r="30" spans="1:13" ht="42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 t="shared" si="0"/>
        <v/>
      </c>
      <c r="L30" s="2" t="str">
        <f t="shared" si="1"/>
        <v/>
      </c>
      <c r="M30" s="2"/>
    </row>
    <row r="31" spans="1:13" ht="4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tr">
        <f t="shared" si="0"/>
        <v/>
      </c>
      <c r="L31" s="2" t="str">
        <f t="shared" si="1"/>
        <v/>
      </c>
      <c r="M31" s="2"/>
    </row>
    <row r="32" spans="1:13" ht="4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tr">
        <f t="shared" si="0"/>
        <v/>
      </c>
      <c r="L32" s="2" t="str">
        <f t="shared" si="1"/>
        <v/>
      </c>
      <c r="M32" s="2"/>
    </row>
    <row r="33" spans="1:13" ht="42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tr">
        <f t="shared" si="0"/>
        <v/>
      </c>
      <c r="L33" s="2" t="str">
        <f t="shared" si="1"/>
        <v/>
      </c>
      <c r="M33" s="2"/>
    </row>
    <row r="34" spans="1:13" ht="4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tr">
        <f t="shared" si="0"/>
        <v/>
      </c>
      <c r="L34" s="2" t="str">
        <f t="shared" si="1"/>
        <v/>
      </c>
      <c r="M34" s="2"/>
    </row>
    <row r="35" spans="1:13" ht="4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tr">
        <f t="shared" si="0"/>
        <v/>
      </c>
      <c r="L35" s="2" t="str">
        <f t="shared" si="1"/>
        <v/>
      </c>
      <c r="M35" s="2"/>
    </row>
    <row r="36" spans="1:13" ht="4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tr">
        <f t="shared" si="0"/>
        <v/>
      </c>
      <c r="L36" s="2" t="str">
        <f t="shared" si="1"/>
        <v/>
      </c>
      <c r="M36" s="2"/>
    </row>
    <row r="37" spans="1:13" ht="4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tr">
        <f t="shared" ref="K37:K68" si="2">IF(COUNTA(E37:J37)=0,"",ROUND(((E37*0.18)+(F37*0.22)+(G37*0.18)+(H37*0.2)+(I37*0.14)+(J37*0.08))*20,0))</f>
        <v/>
      </c>
      <c r="L37" s="2" t="str">
        <f t="shared" ref="L37:L68" si="3">IF(K37="","",IF(K37&gt;=80,"Критический",IF(K37&gt;=65,"Высокий",IF(K37&gt;=45,"Средний","Низкий"))))</f>
        <v/>
      </c>
      <c r="M37" s="2"/>
    </row>
    <row r="38" spans="1:13" ht="4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tr">
        <f t="shared" si="2"/>
        <v/>
      </c>
      <c r="L38" s="2" t="str">
        <f t="shared" si="3"/>
        <v/>
      </c>
      <c r="M38" s="2"/>
    </row>
    <row r="39" spans="1:13" ht="4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tr">
        <f t="shared" si="2"/>
        <v/>
      </c>
      <c r="L39" s="2" t="str">
        <f t="shared" si="3"/>
        <v/>
      </c>
      <c r="M39" s="2"/>
    </row>
    <row r="40" spans="1:13" ht="4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tr">
        <f t="shared" si="2"/>
        <v/>
      </c>
      <c r="L40" s="2" t="str">
        <f t="shared" si="3"/>
        <v/>
      </c>
      <c r="M40" s="2"/>
    </row>
    <row r="41" spans="1:13" ht="4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f t="shared" si="2"/>
        <v/>
      </c>
      <c r="L41" s="2" t="str">
        <f t="shared" si="3"/>
        <v/>
      </c>
      <c r="M41" s="2"/>
    </row>
    <row r="42" spans="1:13" ht="4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tr">
        <f t="shared" si="2"/>
        <v/>
      </c>
      <c r="L42" s="2" t="str">
        <f t="shared" si="3"/>
        <v/>
      </c>
      <c r="M42" s="2"/>
    </row>
    <row r="43" spans="1:13" ht="4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tr">
        <f t="shared" si="2"/>
        <v/>
      </c>
      <c r="L43" s="2" t="str">
        <f t="shared" si="3"/>
        <v/>
      </c>
      <c r="M43" s="2"/>
    </row>
    <row r="44" spans="1:13" ht="4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tr">
        <f t="shared" si="2"/>
        <v/>
      </c>
      <c r="L44" s="2" t="str">
        <f t="shared" si="3"/>
        <v/>
      </c>
      <c r="M44" s="2"/>
    </row>
    <row r="45" spans="1:13" ht="4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tr">
        <f t="shared" si="2"/>
        <v/>
      </c>
      <c r="L45" s="2" t="str">
        <f t="shared" si="3"/>
        <v/>
      </c>
      <c r="M45" s="2"/>
    </row>
    <row r="46" spans="1:13" ht="4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tr">
        <f t="shared" si="2"/>
        <v/>
      </c>
      <c r="L46" s="2" t="str">
        <f t="shared" si="3"/>
        <v/>
      </c>
      <c r="M46" s="2"/>
    </row>
    <row r="47" spans="1:13" ht="4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tr">
        <f t="shared" si="2"/>
        <v/>
      </c>
      <c r="L47" s="2" t="str">
        <f t="shared" si="3"/>
        <v/>
      </c>
      <c r="M47" s="2"/>
    </row>
    <row r="48" spans="1:13" ht="4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tr">
        <f t="shared" si="2"/>
        <v/>
      </c>
      <c r="L48" s="2" t="str">
        <f t="shared" si="3"/>
        <v/>
      </c>
      <c r="M48" s="2"/>
    </row>
    <row r="49" spans="1:13" ht="4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tr">
        <f t="shared" si="2"/>
        <v/>
      </c>
      <c r="L49" s="2" t="str">
        <f t="shared" si="3"/>
        <v/>
      </c>
      <c r="M49" s="2"/>
    </row>
    <row r="50" spans="1:13" ht="4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tr">
        <f t="shared" si="2"/>
        <v/>
      </c>
      <c r="L50" s="2" t="str">
        <f t="shared" si="3"/>
        <v/>
      </c>
      <c r="M50" s="2"/>
    </row>
    <row r="51" spans="1:13" ht="4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tr">
        <f t="shared" si="2"/>
        <v/>
      </c>
      <c r="L51" s="2" t="str">
        <f t="shared" si="3"/>
        <v/>
      </c>
      <c r="M51" s="2"/>
    </row>
    <row r="52" spans="1:13" ht="4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tr">
        <f t="shared" si="2"/>
        <v/>
      </c>
      <c r="L52" s="2" t="str">
        <f t="shared" si="3"/>
        <v/>
      </c>
      <c r="M52" s="2"/>
    </row>
    <row r="53" spans="1:13" ht="4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tr">
        <f t="shared" si="2"/>
        <v/>
      </c>
      <c r="L53" s="2" t="str">
        <f t="shared" si="3"/>
        <v/>
      </c>
      <c r="M53" s="2"/>
    </row>
    <row r="54" spans="1:13" ht="4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tr">
        <f t="shared" si="2"/>
        <v/>
      </c>
      <c r="L54" s="2" t="str">
        <f t="shared" si="3"/>
        <v/>
      </c>
      <c r="M54" s="2"/>
    </row>
    <row r="55" spans="1:13" ht="4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tr">
        <f t="shared" si="2"/>
        <v/>
      </c>
      <c r="L55" s="2" t="str">
        <f t="shared" si="3"/>
        <v/>
      </c>
      <c r="M55" s="2"/>
    </row>
    <row r="56" spans="1:13" ht="4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tr">
        <f t="shared" si="2"/>
        <v/>
      </c>
      <c r="L56" s="2" t="str">
        <f t="shared" si="3"/>
        <v/>
      </c>
      <c r="M56" s="2"/>
    </row>
    <row r="57" spans="1:13" ht="4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tr">
        <f t="shared" si="2"/>
        <v/>
      </c>
      <c r="L57" s="2" t="str">
        <f t="shared" si="3"/>
        <v/>
      </c>
      <c r="M57" s="2"/>
    </row>
    <row r="58" spans="1:13" ht="4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f t="shared" si="2"/>
        <v/>
      </c>
      <c r="L58" s="2" t="str">
        <f t="shared" si="3"/>
        <v/>
      </c>
      <c r="M58" s="2"/>
    </row>
    <row r="59" spans="1:13" ht="4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tr">
        <f t="shared" si="2"/>
        <v/>
      </c>
      <c r="L59" s="2" t="str">
        <f t="shared" si="3"/>
        <v/>
      </c>
      <c r="M59" s="2"/>
    </row>
    <row r="60" spans="1:13" ht="4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tr">
        <f t="shared" si="2"/>
        <v/>
      </c>
      <c r="L60" s="2" t="str">
        <f t="shared" si="3"/>
        <v/>
      </c>
      <c r="M60" s="2"/>
    </row>
    <row r="61" spans="1:13" ht="4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tr">
        <f t="shared" si="2"/>
        <v/>
      </c>
      <c r="L61" s="2" t="str">
        <f t="shared" si="3"/>
        <v/>
      </c>
      <c r="M61" s="2"/>
    </row>
    <row r="62" spans="1:13" ht="4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tr">
        <f t="shared" si="2"/>
        <v/>
      </c>
      <c r="L62" s="2" t="str">
        <f t="shared" si="3"/>
        <v/>
      </c>
      <c r="M62" s="2"/>
    </row>
    <row r="63" spans="1:13" ht="4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tr">
        <f t="shared" si="2"/>
        <v/>
      </c>
      <c r="L63" s="2" t="str">
        <f t="shared" si="3"/>
        <v/>
      </c>
      <c r="M63" s="2"/>
    </row>
    <row r="64" spans="1:13" ht="4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tr">
        <f t="shared" si="2"/>
        <v/>
      </c>
      <c r="L64" s="2" t="str">
        <f t="shared" si="3"/>
        <v/>
      </c>
      <c r="M64" s="2"/>
    </row>
    <row r="65" spans="1:13" ht="4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tr">
        <f t="shared" si="2"/>
        <v/>
      </c>
      <c r="L65" s="2" t="str">
        <f t="shared" si="3"/>
        <v/>
      </c>
      <c r="M65" s="2"/>
    </row>
    <row r="66" spans="1:13" ht="4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tr">
        <f t="shared" si="2"/>
        <v/>
      </c>
      <c r="L66" s="2" t="str">
        <f t="shared" si="3"/>
        <v/>
      </c>
      <c r="M66" s="2"/>
    </row>
    <row r="67" spans="1:13" ht="4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tr">
        <f t="shared" si="2"/>
        <v/>
      </c>
      <c r="L67" s="2" t="str">
        <f t="shared" si="3"/>
        <v/>
      </c>
      <c r="M67" s="2"/>
    </row>
    <row r="68" spans="1:13" ht="4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tr">
        <f t="shared" si="2"/>
        <v/>
      </c>
      <c r="L68" s="2" t="str">
        <f t="shared" si="3"/>
        <v/>
      </c>
      <c r="M68" s="2"/>
    </row>
    <row r="69" spans="1:13" ht="4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tr">
        <f t="shared" ref="K69:K100" si="4">IF(COUNTA(E69:J69)=0,"",ROUND(((E69*0.18)+(F69*0.22)+(G69*0.18)+(H69*0.2)+(I69*0.14)+(J69*0.08))*20,0))</f>
        <v/>
      </c>
      <c r="L69" s="2" t="str">
        <f t="shared" ref="L69:L100" si="5">IF(K69="","",IF(K69&gt;=80,"Критический",IF(K69&gt;=65,"Высокий",IF(K69&gt;=45,"Средний","Низкий"))))</f>
        <v/>
      </c>
      <c r="M69" s="2"/>
    </row>
    <row r="70" spans="1:13" ht="4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tr">
        <f t="shared" si="4"/>
        <v/>
      </c>
      <c r="L70" s="2" t="str">
        <f t="shared" si="5"/>
        <v/>
      </c>
      <c r="M70" s="2"/>
    </row>
    <row r="71" spans="1:13" ht="4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tr">
        <f t="shared" si="4"/>
        <v/>
      </c>
      <c r="L71" s="2" t="str">
        <f t="shared" si="5"/>
        <v/>
      </c>
      <c r="M71" s="2"/>
    </row>
    <row r="72" spans="1:13" ht="4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tr">
        <f t="shared" si="4"/>
        <v/>
      </c>
      <c r="L72" s="2" t="str">
        <f t="shared" si="5"/>
        <v/>
      </c>
      <c r="M72" s="2"/>
    </row>
    <row r="73" spans="1:13" ht="4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tr">
        <f t="shared" si="4"/>
        <v/>
      </c>
      <c r="L73" s="2" t="str">
        <f t="shared" si="5"/>
        <v/>
      </c>
      <c r="M73" s="2"/>
    </row>
    <row r="74" spans="1:13" ht="4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tr">
        <f t="shared" si="4"/>
        <v/>
      </c>
      <c r="L74" s="2" t="str">
        <f t="shared" si="5"/>
        <v/>
      </c>
      <c r="M74" s="2"/>
    </row>
    <row r="75" spans="1:13" ht="4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tr">
        <f t="shared" si="4"/>
        <v/>
      </c>
      <c r="L75" s="2" t="str">
        <f t="shared" si="5"/>
        <v/>
      </c>
      <c r="M75" s="2"/>
    </row>
    <row r="76" spans="1:13" ht="4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tr">
        <f t="shared" si="4"/>
        <v/>
      </c>
      <c r="L76" s="2" t="str">
        <f t="shared" si="5"/>
        <v/>
      </c>
      <c r="M76" s="2"/>
    </row>
    <row r="77" spans="1:13" ht="4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tr">
        <f t="shared" si="4"/>
        <v/>
      </c>
      <c r="L77" s="2" t="str">
        <f t="shared" si="5"/>
        <v/>
      </c>
      <c r="M77" s="2"/>
    </row>
    <row r="78" spans="1:13" ht="4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tr">
        <f t="shared" si="4"/>
        <v/>
      </c>
      <c r="L78" s="2" t="str">
        <f t="shared" si="5"/>
        <v/>
      </c>
      <c r="M78" s="2"/>
    </row>
    <row r="79" spans="1:13" ht="4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tr">
        <f t="shared" si="4"/>
        <v/>
      </c>
      <c r="L79" s="2" t="str">
        <f t="shared" si="5"/>
        <v/>
      </c>
      <c r="M79" s="2"/>
    </row>
    <row r="80" spans="1:13" ht="4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tr">
        <f t="shared" si="4"/>
        <v/>
      </c>
      <c r="L80" s="2" t="str">
        <f t="shared" si="5"/>
        <v/>
      </c>
      <c r="M80" s="2"/>
    </row>
    <row r="81" spans="1:13" ht="4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tr">
        <f t="shared" si="4"/>
        <v/>
      </c>
      <c r="L81" s="2" t="str">
        <f t="shared" si="5"/>
        <v/>
      </c>
      <c r="M81" s="2"/>
    </row>
    <row r="82" spans="1:13" ht="4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tr">
        <f t="shared" si="4"/>
        <v/>
      </c>
      <c r="L82" s="2" t="str">
        <f t="shared" si="5"/>
        <v/>
      </c>
      <c r="M82" s="2"/>
    </row>
    <row r="83" spans="1:13" ht="4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tr">
        <f t="shared" si="4"/>
        <v/>
      </c>
      <c r="L83" s="2" t="str">
        <f t="shared" si="5"/>
        <v/>
      </c>
      <c r="M83" s="2"/>
    </row>
    <row r="84" spans="1:13" ht="4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tr">
        <f t="shared" si="4"/>
        <v/>
      </c>
      <c r="L84" s="2" t="str">
        <f t="shared" si="5"/>
        <v/>
      </c>
      <c r="M84" s="2"/>
    </row>
    <row r="85" spans="1:13" ht="4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tr">
        <f t="shared" si="4"/>
        <v/>
      </c>
      <c r="L85" s="2" t="str">
        <f t="shared" si="5"/>
        <v/>
      </c>
      <c r="M85" s="2"/>
    </row>
    <row r="86" spans="1:13" ht="4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tr">
        <f t="shared" si="4"/>
        <v/>
      </c>
      <c r="L86" s="2" t="str">
        <f t="shared" si="5"/>
        <v/>
      </c>
      <c r="M86" s="2"/>
    </row>
    <row r="87" spans="1:13" ht="4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tr">
        <f t="shared" si="4"/>
        <v/>
      </c>
      <c r="L87" s="2" t="str">
        <f t="shared" si="5"/>
        <v/>
      </c>
      <c r="M87" s="2"/>
    </row>
    <row r="88" spans="1:13" ht="4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tr">
        <f t="shared" si="4"/>
        <v/>
      </c>
      <c r="L88" s="2" t="str">
        <f t="shared" si="5"/>
        <v/>
      </c>
      <c r="M88" s="2"/>
    </row>
    <row r="89" spans="1:13" ht="4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tr">
        <f t="shared" si="4"/>
        <v/>
      </c>
      <c r="L89" s="2" t="str">
        <f t="shared" si="5"/>
        <v/>
      </c>
      <c r="M89" s="2"/>
    </row>
    <row r="90" spans="1:13" ht="4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tr">
        <f t="shared" si="4"/>
        <v/>
      </c>
      <c r="L90" s="2" t="str">
        <f t="shared" si="5"/>
        <v/>
      </c>
      <c r="M90" s="2"/>
    </row>
    <row r="91" spans="1:13" ht="4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tr">
        <f t="shared" si="4"/>
        <v/>
      </c>
      <c r="L91" s="2" t="str">
        <f t="shared" si="5"/>
        <v/>
      </c>
      <c r="M91" s="2"/>
    </row>
    <row r="92" spans="1:13" ht="4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tr">
        <f t="shared" si="4"/>
        <v/>
      </c>
      <c r="L92" s="2" t="str">
        <f t="shared" si="5"/>
        <v/>
      </c>
      <c r="M92" s="2"/>
    </row>
    <row r="93" spans="1:13" ht="4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tr">
        <f t="shared" si="4"/>
        <v/>
      </c>
      <c r="L93" s="2" t="str">
        <f t="shared" si="5"/>
        <v/>
      </c>
      <c r="M93" s="2"/>
    </row>
    <row r="94" spans="1:13" ht="4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tr">
        <f t="shared" si="4"/>
        <v/>
      </c>
      <c r="L94" s="2" t="str">
        <f t="shared" si="5"/>
        <v/>
      </c>
      <c r="M94" s="2"/>
    </row>
    <row r="95" spans="1:13" ht="4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tr">
        <f t="shared" si="4"/>
        <v/>
      </c>
      <c r="L95" s="2" t="str">
        <f t="shared" si="5"/>
        <v/>
      </c>
      <c r="M95" s="2"/>
    </row>
    <row r="96" spans="1:13" ht="4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tr">
        <f t="shared" si="4"/>
        <v/>
      </c>
      <c r="L96" s="2" t="str">
        <f t="shared" si="5"/>
        <v/>
      </c>
      <c r="M96" s="2"/>
    </row>
    <row r="97" spans="1:13" ht="4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tr">
        <f t="shared" si="4"/>
        <v/>
      </c>
      <c r="L97" s="2" t="str">
        <f t="shared" si="5"/>
        <v/>
      </c>
      <c r="M97" s="2"/>
    </row>
    <row r="98" spans="1:13" ht="4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tr">
        <f t="shared" si="4"/>
        <v/>
      </c>
      <c r="L98" s="2" t="str">
        <f t="shared" si="5"/>
        <v/>
      </c>
      <c r="M98" s="2"/>
    </row>
    <row r="99" spans="1:13" ht="4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tr">
        <f t="shared" si="4"/>
        <v/>
      </c>
      <c r="L99" s="2" t="str">
        <f t="shared" si="5"/>
        <v/>
      </c>
      <c r="M99" s="2"/>
    </row>
    <row r="100" spans="1:13" ht="4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tr">
        <f t="shared" si="4"/>
        <v/>
      </c>
      <c r="L100" s="2" t="str">
        <f t="shared" si="5"/>
        <v/>
      </c>
      <c r="M100" s="2"/>
    </row>
    <row r="101" spans="1:13" ht="4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tr">
        <f t="shared" ref="K101:K132" si="6">IF(COUNTA(E101:J101)=0,"",ROUND(((E101*0.18)+(F101*0.22)+(G101*0.18)+(H101*0.2)+(I101*0.14)+(J101*0.08))*20,0))</f>
        <v/>
      </c>
      <c r="L101" s="2" t="str">
        <f t="shared" ref="L101:L132" si="7">IF(K101="","",IF(K101&gt;=80,"Критический",IF(K101&gt;=65,"Высокий",IF(K101&gt;=45,"Средний","Низкий"))))</f>
        <v/>
      </c>
      <c r="M101" s="2"/>
    </row>
    <row r="102" spans="1:13" ht="4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tr">
        <f t="shared" si="6"/>
        <v/>
      </c>
      <c r="L102" s="2" t="str">
        <f t="shared" si="7"/>
        <v/>
      </c>
      <c r="M102" s="2"/>
    </row>
    <row r="103" spans="1:13" ht="4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tr">
        <f t="shared" si="6"/>
        <v/>
      </c>
      <c r="L103" s="2" t="str">
        <f t="shared" si="7"/>
        <v/>
      </c>
      <c r="M103" s="2"/>
    </row>
    <row r="104" spans="1:13" ht="4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 t="shared" si="6"/>
        <v/>
      </c>
      <c r="L104" s="2" t="str">
        <f t="shared" si="7"/>
        <v/>
      </c>
      <c r="M104" s="2"/>
    </row>
  </sheetData>
  <mergeCells count="2">
    <mergeCell ref="A1:M1"/>
    <mergeCell ref="A2:M2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Справочники!$A$4:$A$8</xm:f>
          </x14:formula1>
          <xm:sqref>E5:J104</xm:sqref>
        </x14:dataValidation>
        <x14:dataValidation type="list" xr:uid="{00000000-0002-0000-0300-000006000000}">
          <x14:formula1>
            <xm:f>Справочники!$B$4:$B$8</xm:f>
          </x14:formula1>
          <xm:sqref>B5:B104</xm:sqref>
        </x14:dataValidation>
        <x14:dataValidation type="list" xr:uid="{00000000-0002-0000-0300-000007000000}">
          <x14:formula1>
            <xm:f>Справочники!$C$4:$C$10</xm:f>
          </x14:formula1>
          <xm:sqref>C5:C104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4"/>
  <sheetViews>
    <sheetView workbookViewId="0"/>
  </sheetViews>
  <sheetFormatPr defaultRowHeight="14.25"/>
  <cols>
    <col min="1" max="1" width="22" customWidth="1"/>
    <col min="2" max="2" width="30" customWidth="1"/>
    <col min="3" max="3" width="14" customWidth="1"/>
    <col min="4" max="4" width="54" customWidth="1"/>
    <col min="5" max="6" width="16" customWidth="1"/>
    <col min="7" max="7" width="15" customWidth="1"/>
    <col min="8" max="8" width="16" customWidth="1"/>
    <col min="9" max="9" width="15" customWidth="1"/>
    <col min="10" max="10" width="17" customWidth="1"/>
    <col min="11" max="11" width="20" customWidth="1"/>
    <col min="12" max="12" width="32" customWidth="1"/>
  </cols>
  <sheetData>
    <row r="1" spans="1:12" ht="27.95" customHeight="1">
      <c r="A1" s="17" t="s">
        <v>150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3.950000000000003" customHeight="1">
      <c r="A2" s="19" t="s">
        <v>151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33.950000000000003" customHeight="1">
      <c r="A4" s="1" t="s">
        <v>152</v>
      </c>
      <c r="B4" s="1" t="s">
        <v>153</v>
      </c>
      <c r="C4" s="1" t="s">
        <v>137</v>
      </c>
      <c r="D4" s="1" t="s">
        <v>154</v>
      </c>
      <c r="E4" s="1" t="s">
        <v>155</v>
      </c>
      <c r="F4" s="1" t="s">
        <v>156</v>
      </c>
      <c r="G4" s="1" t="s">
        <v>157</v>
      </c>
      <c r="H4" s="1" t="s">
        <v>158</v>
      </c>
      <c r="I4" s="1" t="s">
        <v>146</v>
      </c>
      <c r="J4" s="1" t="s">
        <v>159</v>
      </c>
      <c r="K4" s="1" t="s">
        <v>160</v>
      </c>
      <c r="L4" s="1" t="s">
        <v>130</v>
      </c>
    </row>
    <row r="5" spans="1:12" ht="42" customHeight="1">
      <c r="A5" s="2" t="s">
        <v>266</v>
      </c>
      <c r="B5" s="2" t="s">
        <v>267</v>
      </c>
      <c r="C5" s="2" t="s">
        <v>148</v>
      </c>
      <c r="D5" s="2" t="s">
        <v>357</v>
      </c>
      <c r="E5" s="2">
        <v>2</v>
      </c>
      <c r="F5" s="2">
        <v>4</v>
      </c>
      <c r="G5" s="2">
        <v>3</v>
      </c>
      <c r="H5" s="2">
        <v>5</v>
      </c>
      <c r="I5" s="2">
        <v>4</v>
      </c>
      <c r="J5" s="2">
        <f t="shared" ref="J5:J36" si="0">IF(COUNTA(E5:I5)=0,"",ROUND(((E5*0.25)+(F5*0.2)+(G5*0.2)+(H5*0.15)+(I5*0.2))*20,0))</f>
        <v>69</v>
      </c>
      <c r="K5" s="2" t="str">
        <f t="shared" ref="K5:K36" si="1">IF(J5="","",IF(J5&gt;=80,"Сильное решение",IF(J5&gt;=60,"Рыночный стандарт",IF(J5&gt;=40,"Частичное решение","Слабое решение"))))</f>
        <v>Рыночный стандарт</v>
      </c>
      <c r="L5" s="2" t="s">
        <v>358</v>
      </c>
    </row>
    <row r="6" spans="1:12" ht="42" customHeight="1">
      <c r="A6" s="2" t="s">
        <v>234</v>
      </c>
      <c r="B6" s="2" t="s">
        <v>235</v>
      </c>
      <c r="C6" s="2" t="s">
        <v>148</v>
      </c>
      <c r="D6" s="2" t="s">
        <v>359</v>
      </c>
      <c r="E6" s="2">
        <v>3</v>
      </c>
      <c r="F6" s="2">
        <v>4</v>
      </c>
      <c r="G6" s="2">
        <v>3</v>
      </c>
      <c r="H6" s="2">
        <v>5</v>
      </c>
      <c r="I6" s="2">
        <v>5</v>
      </c>
      <c r="J6" s="2">
        <f t="shared" si="0"/>
        <v>78</v>
      </c>
      <c r="K6" s="2" t="str">
        <f t="shared" si="1"/>
        <v>Рыночный стандарт</v>
      </c>
      <c r="L6" s="2" t="s">
        <v>360</v>
      </c>
    </row>
    <row r="7" spans="1:12" ht="42" customHeight="1">
      <c r="A7" s="2" t="s">
        <v>241</v>
      </c>
      <c r="B7" s="2" t="s">
        <v>242</v>
      </c>
      <c r="C7" s="2" t="s">
        <v>148</v>
      </c>
      <c r="D7" s="2" t="s">
        <v>361</v>
      </c>
      <c r="E7" s="2">
        <v>2</v>
      </c>
      <c r="F7" s="2">
        <v>4</v>
      </c>
      <c r="G7" s="2">
        <v>3</v>
      </c>
      <c r="H7" s="2">
        <v>5</v>
      </c>
      <c r="I7" s="2">
        <v>5</v>
      </c>
      <c r="J7" s="2">
        <f t="shared" si="0"/>
        <v>73</v>
      </c>
      <c r="K7" s="2" t="str">
        <f t="shared" si="1"/>
        <v>Рыночный стандарт</v>
      </c>
      <c r="L7" s="2" t="s">
        <v>360</v>
      </c>
    </row>
    <row r="8" spans="1:12" ht="42" customHeight="1">
      <c r="A8" s="2" t="s">
        <v>248</v>
      </c>
      <c r="B8" s="2" t="s">
        <v>362</v>
      </c>
      <c r="C8" s="2" t="s">
        <v>148</v>
      </c>
      <c r="D8" s="2" t="s">
        <v>363</v>
      </c>
      <c r="E8" s="2">
        <v>3</v>
      </c>
      <c r="F8" s="2">
        <v>5</v>
      </c>
      <c r="G8" s="2">
        <v>4</v>
      </c>
      <c r="H8" s="2">
        <v>4</v>
      </c>
      <c r="I8" s="2">
        <v>4</v>
      </c>
      <c r="J8" s="2">
        <f t="shared" si="0"/>
        <v>79</v>
      </c>
      <c r="K8" s="2" t="str">
        <f t="shared" si="1"/>
        <v>Рыночный стандарт</v>
      </c>
      <c r="L8" s="2" t="s">
        <v>364</v>
      </c>
    </row>
    <row r="9" spans="1:12" ht="42" customHeight="1">
      <c r="A9" s="2" t="s">
        <v>260</v>
      </c>
      <c r="B9" s="2" t="s">
        <v>261</v>
      </c>
      <c r="C9" s="2" t="s">
        <v>148</v>
      </c>
      <c r="D9" s="2" t="s">
        <v>365</v>
      </c>
      <c r="E9" s="2">
        <v>2</v>
      </c>
      <c r="F9" s="2">
        <v>4</v>
      </c>
      <c r="G9" s="2">
        <v>3</v>
      </c>
      <c r="H9" s="2">
        <v>4</v>
      </c>
      <c r="I9" s="2">
        <v>4</v>
      </c>
      <c r="J9" s="2">
        <f t="shared" si="0"/>
        <v>66</v>
      </c>
      <c r="K9" s="2" t="str">
        <f t="shared" si="1"/>
        <v>Рыночный стандарт</v>
      </c>
      <c r="L9" s="2" t="s">
        <v>366</v>
      </c>
    </row>
    <row r="10" spans="1:12" ht="42" customHeight="1">
      <c r="A10" s="2" t="s">
        <v>367</v>
      </c>
      <c r="B10" s="2" t="s">
        <v>368</v>
      </c>
      <c r="C10" s="2" t="s">
        <v>148</v>
      </c>
      <c r="D10" s="2" t="s">
        <v>369</v>
      </c>
      <c r="E10" s="2">
        <v>4</v>
      </c>
      <c r="F10" s="2">
        <v>3</v>
      </c>
      <c r="G10" s="2">
        <v>3</v>
      </c>
      <c r="H10" s="2">
        <v>2</v>
      </c>
      <c r="I10" s="2">
        <v>3</v>
      </c>
      <c r="J10" s="2">
        <f t="shared" si="0"/>
        <v>62</v>
      </c>
      <c r="K10" s="2" t="str">
        <f t="shared" si="1"/>
        <v>Рыночный стандарт</v>
      </c>
      <c r="L10" s="2" t="s">
        <v>370</v>
      </c>
    </row>
    <row r="11" spans="1:12" ht="42" customHeight="1">
      <c r="A11" s="2" t="s">
        <v>248</v>
      </c>
      <c r="B11" s="2" t="s">
        <v>249</v>
      </c>
      <c r="C11" s="2" t="s">
        <v>340</v>
      </c>
      <c r="D11" s="2" t="s">
        <v>371</v>
      </c>
      <c r="E11" s="2">
        <v>4</v>
      </c>
      <c r="F11" s="2">
        <v>4</v>
      </c>
      <c r="G11" s="2">
        <v>4</v>
      </c>
      <c r="H11" s="2">
        <v>4</v>
      </c>
      <c r="I11" s="2">
        <v>5</v>
      </c>
      <c r="J11" s="2">
        <f t="shared" si="0"/>
        <v>84</v>
      </c>
      <c r="K11" s="2" t="str">
        <f t="shared" si="1"/>
        <v>Сильное решение</v>
      </c>
      <c r="L11" s="2" t="s">
        <v>372</v>
      </c>
    </row>
    <row r="12" spans="1:12" ht="42" customHeight="1">
      <c r="A12" s="2" t="s">
        <v>234</v>
      </c>
      <c r="B12" s="2" t="s">
        <v>235</v>
      </c>
      <c r="C12" s="2" t="s">
        <v>340</v>
      </c>
      <c r="D12" s="2" t="s">
        <v>373</v>
      </c>
      <c r="E12" s="2">
        <v>3</v>
      </c>
      <c r="F12" s="2">
        <v>3</v>
      </c>
      <c r="G12" s="2">
        <v>3</v>
      </c>
      <c r="H12" s="2">
        <v>5</v>
      </c>
      <c r="I12" s="2">
        <v>4</v>
      </c>
      <c r="J12" s="2">
        <f t="shared" si="0"/>
        <v>70</v>
      </c>
      <c r="K12" s="2" t="str">
        <f t="shared" si="1"/>
        <v>Рыночный стандарт</v>
      </c>
      <c r="L12" s="2"/>
    </row>
    <row r="13" spans="1:12" ht="42" customHeight="1">
      <c r="A13" s="2" t="s">
        <v>266</v>
      </c>
      <c r="B13" s="2" t="s">
        <v>274</v>
      </c>
      <c r="C13" s="2" t="s">
        <v>340</v>
      </c>
      <c r="D13" s="2" t="s">
        <v>374</v>
      </c>
      <c r="E13" s="2">
        <v>3</v>
      </c>
      <c r="F13" s="2">
        <v>3</v>
      </c>
      <c r="G13" s="2">
        <v>3</v>
      </c>
      <c r="H13" s="2">
        <v>4</v>
      </c>
      <c r="I13" s="2">
        <v>4</v>
      </c>
      <c r="J13" s="2">
        <f t="shared" si="0"/>
        <v>67</v>
      </c>
      <c r="K13" s="2" t="str">
        <f t="shared" si="1"/>
        <v>Рыночный стандарт</v>
      </c>
      <c r="L13" s="2"/>
    </row>
    <row r="14" spans="1:12" ht="42" customHeight="1">
      <c r="A14" s="2" t="s">
        <v>248</v>
      </c>
      <c r="B14" s="2" t="s">
        <v>254</v>
      </c>
      <c r="C14" s="2" t="s">
        <v>345</v>
      </c>
      <c r="D14" s="2" t="s">
        <v>375</v>
      </c>
      <c r="E14" s="2">
        <v>4</v>
      </c>
      <c r="F14" s="2">
        <v>5</v>
      </c>
      <c r="G14" s="2">
        <v>4</v>
      </c>
      <c r="H14" s="2">
        <v>4</v>
      </c>
      <c r="I14" s="2">
        <v>4</v>
      </c>
      <c r="J14" s="2">
        <f t="shared" si="0"/>
        <v>84</v>
      </c>
      <c r="K14" s="2" t="str">
        <f t="shared" si="1"/>
        <v>Сильное решение</v>
      </c>
      <c r="L14" s="2" t="s">
        <v>376</v>
      </c>
    </row>
    <row r="15" spans="1:12" ht="42" customHeight="1">
      <c r="A15" s="2" t="s">
        <v>241</v>
      </c>
      <c r="B15" s="2" t="s">
        <v>242</v>
      </c>
      <c r="C15" s="2" t="s">
        <v>351</v>
      </c>
      <c r="D15" s="2" t="s">
        <v>377</v>
      </c>
      <c r="E15" s="2">
        <v>3</v>
      </c>
      <c r="F15" s="2">
        <v>4</v>
      </c>
      <c r="G15" s="2">
        <v>3</v>
      </c>
      <c r="H15" s="2">
        <v>5</v>
      </c>
      <c r="I15" s="2">
        <v>5</v>
      </c>
      <c r="J15" s="2">
        <f t="shared" si="0"/>
        <v>78</v>
      </c>
      <c r="K15" s="2" t="str">
        <f t="shared" si="1"/>
        <v>Рыночный стандарт</v>
      </c>
      <c r="L15" s="2"/>
    </row>
    <row r="16" spans="1:12" ht="42" customHeight="1">
      <c r="A16" s="2" t="s">
        <v>266</v>
      </c>
      <c r="B16" s="2" t="s">
        <v>267</v>
      </c>
      <c r="C16" s="2" t="s">
        <v>348</v>
      </c>
      <c r="D16" s="2" t="s">
        <v>378</v>
      </c>
      <c r="E16" s="2">
        <v>1</v>
      </c>
      <c r="F16" s="2">
        <v>2</v>
      </c>
      <c r="G16" s="2">
        <v>1</v>
      </c>
      <c r="H16" s="2">
        <v>5</v>
      </c>
      <c r="I16" s="2">
        <v>3</v>
      </c>
      <c r="J16" s="2">
        <f t="shared" si="0"/>
        <v>44</v>
      </c>
      <c r="K16" s="2" t="str">
        <f t="shared" si="1"/>
        <v>Частичное решение</v>
      </c>
      <c r="L16" s="2"/>
    </row>
    <row r="17" spans="1:12" ht="42" customHeight="1">
      <c r="A17" s="2"/>
      <c r="B17" s="2"/>
      <c r="C17" s="2"/>
      <c r="D17" s="2"/>
      <c r="E17" s="2"/>
      <c r="F17" s="2"/>
      <c r="G17" s="2"/>
      <c r="H17" s="2"/>
      <c r="I17" s="2"/>
      <c r="J17" s="2" t="str">
        <f t="shared" si="0"/>
        <v/>
      </c>
      <c r="K17" s="2" t="str">
        <f t="shared" si="1"/>
        <v/>
      </c>
      <c r="L17" s="2"/>
    </row>
    <row r="18" spans="1:12" ht="42" customHeight="1">
      <c r="A18" s="2"/>
      <c r="B18" s="2"/>
      <c r="C18" s="2"/>
      <c r="D18" s="2"/>
      <c r="E18" s="2"/>
      <c r="F18" s="2"/>
      <c r="G18" s="2"/>
      <c r="H18" s="2"/>
      <c r="I18" s="2"/>
      <c r="J18" s="2" t="str">
        <f t="shared" si="0"/>
        <v/>
      </c>
      <c r="K18" s="2" t="str">
        <f t="shared" si="1"/>
        <v/>
      </c>
      <c r="L18" s="2"/>
    </row>
    <row r="19" spans="1:12" ht="42" customHeight="1">
      <c r="A19" s="2"/>
      <c r="B19" s="2"/>
      <c r="C19" s="2"/>
      <c r="D19" s="2"/>
      <c r="E19" s="2"/>
      <c r="F19" s="2"/>
      <c r="G19" s="2"/>
      <c r="H19" s="2"/>
      <c r="I19" s="2"/>
      <c r="J19" s="2" t="str">
        <f t="shared" si="0"/>
        <v/>
      </c>
      <c r="K19" s="2" t="str">
        <f t="shared" si="1"/>
        <v/>
      </c>
      <c r="L19" s="2"/>
    </row>
    <row r="20" spans="1:12" ht="42" customHeight="1">
      <c r="A20" s="2"/>
      <c r="B20" s="2"/>
      <c r="C20" s="2"/>
      <c r="D20" s="2"/>
      <c r="E20" s="2"/>
      <c r="F20" s="2"/>
      <c r="G20" s="2"/>
      <c r="H20" s="2"/>
      <c r="I20" s="2"/>
      <c r="J20" s="2" t="str">
        <f t="shared" si="0"/>
        <v/>
      </c>
      <c r="K20" s="2" t="str">
        <f t="shared" si="1"/>
        <v/>
      </c>
      <c r="L20" s="2"/>
    </row>
    <row r="21" spans="1:12" ht="42" customHeight="1">
      <c r="A21" s="2"/>
      <c r="B21" s="2"/>
      <c r="C21" s="2"/>
      <c r="D21" s="2"/>
      <c r="E21" s="2"/>
      <c r="F21" s="2"/>
      <c r="G21" s="2"/>
      <c r="H21" s="2"/>
      <c r="I21" s="2"/>
      <c r="J21" s="2" t="str">
        <f t="shared" si="0"/>
        <v/>
      </c>
      <c r="K21" s="2" t="str">
        <f t="shared" si="1"/>
        <v/>
      </c>
      <c r="L21" s="2"/>
    </row>
    <row r="22" spans="1:12" ht="42" customHeight="1">
      <c r="A22" s="2"/>
      <c r="B22" s="2"/>
      <c r="C22" s="2"/>
      <c r="D22" s="2"/>
      <c r="E22" s="2"/>
      <c r="F22" s="2"/>
      <c r="G22" s="2"/>
      <c r="H22" s="2"/>
      <c r="I22" s="2"/>
      <c r="J22" s="2" t="str">
        <f t="shared" si="0"/>
        <v/>
      </c>
      <c r="K22" s="2" t="str">
        <f t="shared" si="1"/>
        <v/>
      </c>
      <c r="L22" s="2"/>
    </row>
    <row r="23" spans="1:12" ht="42" customHeight="1">
      <c r="A23" s="2"/>
      <c r="B23" s="2"/>
      <c r="C23" s="2"/>
      <c r="D23" s="2"/>
      <c r="E23" s="2"/>
      <c r="F23" s="2"/>
      <c r="G23" s="2"/>
      <c r="H23" s="2"/>
      <c r="I23" s="2"/>
      <c r="J23" s="2" t="str">
        <f t="shared" si="0"/>
        <v/>
      </c>
      <c r="K23" s="2" t="str">
        <f t="shared" si="1"/>
        <v/>
      </c>
      <c r="L23" s="2"/>
    </row>
    <row r="24" spans="1:12" ht="42" customHeight="1">
      <c r="A24" s="2"/>
      <c r="B24" s="2"/>
      <c r="C24" s="2"/>
      <c r="D24" s="2"/>
      <c r="E24" s="2"/>
      <c r="F24" s="2"/>
      <c r="G24" s="2"/>
      <c r="H24" s="2"/>
      <c r="I24" s="2"/>
      <c r="J24" s="2" t="str">
        <f t="shared" si="0"/>
        <v/>
      </c>
      <c r="K24" s="2" t="str">
        <f t="shared" si="1"/>
        <v/>
      </c>
      <c r="L24" s="2"/>
    </row>
    <row r="25" spans="1:12" ht="42" customHeight="1">
      <c r="A25" s="2"/>
      <c r="B25" s="2"/>
      <c r="C25" s="2"/>
      <c r="D25" s="2"/>
      <c r="E25" s="2"/>
      <c r="F25" s="2"/>
      <c r="G25" s="2"/>
      <c r="H25" s="2"/>
      <c r="I25" s="2"/>
      <c r="J25" s="2" t="str">
        <f t="shared" si="0"/>
        <v/>
      </c>
      <c r="K25" s="2" t="str">
        <f t="shared" si="1"/>
        <v/>
      </c>
      <c r="L25" s="2"/>
    </row>
    <row r="26" spans="1:12" ht="42" customHeight="1">
      <c r="A26" s="2"/>
      <c r="B26" s="2"/>
      <c r="C26" s="2"/>
      <c r="D26" s="2"/>
      <c r="E26" s="2"/>
      <c r="F26" s="2"/>
      <c r="G26" s="2"/>
      <c r="H26" s="2"/>
      <c r="I26" s="2"/>
      <c r="J26" s="2" t="str">
        <f t="shared" si="0"/>
        <v/>
      </c>
      <c r="K26" s="2" t="str">
        <f t="shared" si="1"/>
        <v/>
      </c>
      <c r="L26" s="2"/>
    </row>
    <row r="27" spans="1:12" ht="42" customHeight="1">
      <c r="A27" s="2"/>
      <c r="B27" s="2"/>
      <c r="C27" s="2"/>
      <c r="D27" s="2"/>
      <c r="E27" s="2"/>
      <c r="F27" s="2"/>
      <c r="G27" s="2"/>
      <c r="H27" s="2"/>
      <c r="I27" s="2"/>
      <c r="J27" s="2" t="str">
        <f t="shared" si="0"/>
        <v/>
      </c>
      <c r="K27" s="2" t="str">
        <f t="shared" si="1"/>
        <v/>
      </c>
      <c r="L27" s="2"/>
    </row>
    <row r="28" spans="1:12" ht="42" customHeight="1">
      <c r="A28" s="2"/>
      <c r="B28" s="2"/>
      <c r="C28" s="2"/>
      <c r="D28" s="2"/>
      <c r="E28" s="2"/>
      <c r="F28" s="2"/>
      <c r="G28" s="2"/>
      <c r="H28" s="2"/>
      <c r="I28" s="2"/>
      <c r="J28" s="2" t="str">
        <f t="shared" si="0"/>
        <v/>
      </c>
      <c r="K28" s="2" t="str">
        <f t="shared" si="1"/>
        <v/>
      </c>
      <c r="L28" s="2"/>
    </row>
    <row r="29" spans="1:12" ht="42" customHeight="1">
      <c r="A29" s="2"/>
      <c r="B29" s="2"/>
      <c r="C29" s="2"/>
      <c r="D29" s="2"/>
      <c r="E29" s="2"/>
      <c r="F29" s="2"/>
      <c r="G29" s="2"/>
      <c r="H29" s="2"/>
      <c r="I29" s="2"/>
      <c r="J29" s="2" t="str">
        <f t="shared" si="0"/>
        <v/>
      </c>
      <c r="K29" s="2" t="str">
        <f t="shared" si="1"/>
        <v/>
      </c>
      <c r="L29" s="2"/>
    </row>
    <row r="30" spans="1:12" ht="42" customHeight="1">
      <c r="A30" s="2"/>
      <c r="B30" s="2"/>
      <c r="C30" s="2"/>
      <c r="D30" s="2"/>
      <c r="E30" s="2"/>
      <c r="F30" s="2"/>
      <c r="G30" s="2"/>
      <c r="H30" s="2"/>
      <c r="I30" s="2"/>
      <c r="J30" s="2" t="str">
        <f t="shared" si="0"/>
        <v/>
      </c>
      <c r="K30" s="2" t="str">
        <f t="shared" si="1"/>
        <v/>
      </c>
      <c r="L30" s="2"/>
    </row>
    <row r="31" spans="1:12" ht="42" customHeight="1">
      <c r="A31" s="2"/>
      <c r="B31" s="2"/>
      <c r="C31" s="2"/>
      <c r="D31" s="2"/>
      <c r="E31" s="2"/>
      <c r="F31" s="2"/>
      <c r="G31" s="2"/>
      <c r="H31" s="2"/>
      <c r="I31" s="2"/>
      <c r="J31" s="2" t="str">
        <f t="shared" si="0"/>
        <v/>
      </c>
      <c r="K31" s="2" t="str">
        <f t="shared" si="1"/>
        <v/>
      </c>
      <c r="L31" s="2"/>
    </row>
    <row r="32" spans="1:12" ht="42" customHeight="1">
      <c r="A32" s="2"/>
      <c r="B32" s="2"/>
      <c r="C32" s="2"/>
      <c r="D32" s="2"/>
      <c r="E32" s="2"/>
      <c r="F32" s="2"/>
      <c r="G32" s="2"/>
      <c r="H32" s="2"/>
      <c r="I32" s="2"/>
      <c r="J32" s="2" t="str">
        <f t="shared" si="0"/>
        <v/>
      </c>
      <c r="K32" s="2" t="str">
        <f t="shared" si="1"/>
        <v/>
      </c>
      <c r="L32" s="2"/>
    </row>
    <row r="33" spans="1:12" ht="42" customHeight="1">
      <c r="A33" s="2"/>
      <c r="B33" s="2"/>
      <c r="C33" s="2"/>
      <c r="D33" s="2"/>
      <c r="E33" s="2"/>
      <c r="F33" s="2"/>
      <c r="G33" s="2"/>
      <c r="H33" s="2"/>
      <c r="I33" s="2"/>
      <c r="J33" s="2" t="str">
        <f t="shared" si="0"/>
        <v/>
      </c>
      <c r="K33" s="2" t="str">
        <f t="shared" si="1"/>
        <v/>
      </c>
      <c r="L33" s="2"/>
    </row>
    <row r="34" spans="1:12" ht="42" customHeight="1">
      <c r="A34" s="2"/>
      <c r="B34" s="2"/>
      <c r="C34" s="2"/>
      <c r="D34" s="2"/>
      <c r="E34" s="2"/>
      <c r="F34" s="2"/>
      <c r="G34" s="2"/>
      <c r="H34" s="2"/>
      <c r="I34" s="2"/>
      <c r="J34" s="2" t="str">
        <f t="shared" si="0"/>
        <v/>
      </c>
      <c r="K34" s="2" t="str">
        <f t="shared" si="1"/>
        <v/>
      </c>
      <c r="L34" s="2"/>
    </row>
    <row r="35" spans="1:12" ht="42" customHeight="1">
      <c r="A35" s="2"/>
      <c r="B35" s="2"/>
      <c r="C35" s="2"/>
      <c r="D35" s="2"/>
      <c r="E35" s="2"/>
      <c r="F35" s="2"/>
      <c r="G35" s="2"/>
      <c r="H35" s="2"/>
      <c r="I35" s="2"/>
      <c r="J35" s="2" t="str">
        <f t="shared" si="0"/>
        <v/>
      </c>
      <c r="K35" s="2" t="str">
        <f t="shared" si="1"/>
        <v/>
      </c>
      <c r="L35" s="2"/>
    </row>
    <row r="36" spans="1:12" ht="42" customHeight="1">
      <c r="A36" s="2"/>
      <c r="B36" s="2"/>
      <c r="C36" s="2"/>
      <c r="D36" s="2"/>
      <c r="E36" s="2"/>
      <c r="F36" s="2"/>
      <c r="G36" s="2"/>
      <c r="H36" s="2"/>
      <c r="I36" s="2"/>
      <c r="J36" s="2" t="str">
        <f t="shared" si="0"/>
        <v/>
      </c>
      <c r="K36" s="2" t="str">
        <f t="shared" si="1"/>
        <v/>
      </c>
      <c r="L36" s="2"/>
    </row>
    <row r="37" spans="1:12" ht="42" customHeight="1">
      <c r="A37" s="2"/>
      <c r="B37" s="2"/>
      <c r="C37" s="2"/>
      <c r="D37" s="2"/>
      <c r="E37" s="2"/>
      <c r="F37" s="2"/>
      <c r="G37" s="2"/>
      <c r="H37" s="2"/>
      <c r="I37" s="2"/>
      <c r="J37" s="2" t="str">
        <f t="shared" ref="J37:J68" si="2">IF(COUNTA(E37:I37)=0,"",ROUND(((E37*0.25)+(F37*0.2)+(G37*0.2)+(H37*0.15)+(I37*0.2))*20,0))</f>
        <v/>
      </c>
      <c r="K37" s="2" t="str">
        <f t="shared" ref="K37:K68" si="3">IF(J37="","",IF(J37&gt;=80,"Сильное решение",IF(J37&gt;=60,"Рыночный стандарт",IF(J37&gt;=40,"Частичное решение","Слабое решение"))))</f>
        <v/>
      </c>
      <c r="L37" s="2"/>
    </row>
    <row r="38" spans="1:12" ht="42" customHeight="1">
      <c r="A38" s="2"/>
      <c r="B38" s="2"/>
      <c r="C38" s="2"/>
      <c r="D38" s="2"/>
      <c r="E38" s="2"/>
      <c r="F38" s="2"/>
      <c r="G38" s="2"/>
      <c r="H38" s="2"/>
      <c r="I38" s="2"/>
      <c r="J38" s="2" t="str">
        <f t="shared" si="2"/>
        <v/>
      </c>
      <c r="K38" s="2" t="str">
        <f t="shared" si="3"/>
        <v/>
      </c>
      <c r="L38" s="2"/>
    </row>
    <row r="39" spans="1:12" ht="42" customHeight="1">
      <c r="A39" s="2"/>
      <c r="B39" s="2"/>
      <c r="C39" s="2"/>
      <c r="D39" s="2"/>
      <c r="E39" s="2"/>
      <c r="F39" s="2"/>
      <c r="G39" s="2"/>
      <c r="H39" s="2"/>
      <c r="I39" s="2"/>
      <c r="J39" s="2" t="str">
        <f t="shared" si="2"/>
        <v/>
      </c>
      <c r="K39" s="2" t="str">
        <f t="shared" si="3"/>
        <v/>
      </c>
      <c r="L39" s="2"/>
    </row>
    <row r="40" spans="1:12" ht="42" customHeight="1">
      <c r="A40" s="2"/>
      <c r="B40" s="2"/>
      <c r="C40" s="2"/>
      <c r="D40" s="2"/>
      <c r="E40" s="2"/>
      <c r="F40" s="2"/>
      <c r="G40" s="2"/>
      <c r="H40" s="2"/>
      <c r="I40" s="2"/>
      <c r="J40" s="2" t="str">
        <f t="shared" si="2"/>
        <v/>
      </c>
      <c r="K40" s="2" t="str">
        <f t="shared" si="3"/>
        <v/>
      </c>
      <c r="L40" s="2"/>
    </row>
    <row r="41" spans="1:12" ht="42" customHeight="1">
      <c r="A41" s="2"/>
      <c r="B41" s="2"/>
      <c r="C41" s="2"/>
      <c r="D41" s="2"/>
      <c r="E41" s="2"/>
      <c r="F41" s="2"/>
      <c r="G41" s="2"/>
      <c r="H41" s="2"/>
      <c r="I41" s="2"/>
      <c r="J41" s="2" t="str">
        <f t="shared" si="2"/>
        <v/>
      </c>
      <c r="K41" s="2" t="str">
        <f t="shared" si="3"/>
        <v/>
      </c>
      <c r="L41" s="2"/>
    </row>
    <row r="42" spans="1:12" ht="42" customHeight="1">
      <c r="A42" s="2"/>
      <c r="B42" s="2"/>
      <c r="C42" s="2"/>
      <c r="D42" s="2"/>
      <c r="E42" s="2"/>
      <c r="F42" s="2"/>
      <c r="G42" s="2"/>
      <c r="H42" s="2"/>
      <c r="I42" s="2"/>
      <c r="J42" s="2" t="str">
        <f t="shared" si="2"/>
        <v/>
      </c>
      <c r="K42" s="2" t="str">
        <f t="shared" si="3"/>
        <v/>
      </c>
      <c r="L42" s="2"/>
    </row>
    <row r="43" spans="1:12" ht="42" customHeight="1">
      <c r="A43" s="2"/>
      <c r="B43" s="2"/>
      <c r="C43" s="2"/>
      <c r="D43" s="2"/>
      <c r="E43" s="2"/>
      <c r="F43" s="2"/>
      <c r="G43" s="2"/>
      <c r="H43" s="2"/>
      <c r="I43" s="2"/>
      <c r="J43" s="2" t="str">
        <f t="shared" si="2"/>
        <v/>
      </c>
      <c r="K43" s="2" t="str">
        <f t="shared" si="3"/>
        <v/>
      </c>
      <c r="L43" s="2"/>
    </row>
    <row r="44" spans="1:12" ht="42" customHeight="1">
      <c r="A44" s="2"/>
      <c r="B44" s="2"/>
      <c r="C44" s="2"/>
      <c r="D44" s="2"/>
      <c r="E44" s="2"/>
      <c r="F44" s="2"/>
      <c r="G44" s="2"/>
      <c r="H44" s="2"/>
      <c r="I44" s="2"/>
      <c r="J44" s="2" t="str">
        <f t="shared" si="2"/>
        <v/>
      </c>
      <c r="K44" s="2" t="str">
        <f t="shared" si="3"/>
        <v/>
      </c>
      <c r="L44" s="2"/>
    </row>
    <row r="45" spans="1:12" ht="42" customHeight="1">
      <c r="A45" s="2"/>
      <c r="B45" s="2"/>
      <c r="C45" s="2"/>
      <c r="D45" s="2"/>
      <c r="E45" s="2"/>
      <c r="F45" s="2"/>
      <c r="G45" s="2"/>
      <c r="H45" s="2"/>
      <c r="I45" s="2"/>
      <c r="J45" s="2" t="str">
        <f t="shared" si="2"/>
        <v/>
      </c>
      <c r="K45" s="2" t="str">
        <f t="shared" si="3"/>
        <v/>
      </c>
      <c r="L45" s="2"/>
    </row>
    <row r="46" spans="1:12" ht="42" customHeight="1">
      <c r="A46" s="2"/>
      <c r="B46" s="2"/>
      <c r="C46" s="2"/>
      <c r="D46" s="2"/>
      <c r="E46" s="2"/>
      <c r="F46" s="2"/>
      <c r="G46" s="2"/>
      <c r="H46" s="2"/>
      <c r="I46" s="2"/>
      <c r="J46" s="2" t="str">
        <f t="shared" si="2"/>
        <v/>
      </c>
      <c r="K46" s="2" t="str">
        <f t="shared" si="3"/>
        <v/>
      </c>
      <c r="L46" s="2"/>
    </row>
    <row r="47" spans="1:12" ht="42" customHeight="1">
      <c r="A47" s="2"/>
      <c r="B47" s="2"/>
      <c r="C47" s="2"/>
      <c r="D47" s="2"/>
      <c r="E47" s="2"/>
      <c r="F47" s="2"/>
      <c r="G47" s="2"/>
      <c r="H47" s="2"/>
      <c r="I47" s="2"/>
      <c r="J47" s="2" t="str">
        <f t="shared" si="2"/>
        <v/>
      </c>
      <c r="K47" s="2" t="str">
        <f t="shared" si="3"/>
        <v/>
      </c>
      <c r="L47" s="2"/>
    </row>
    <row r="48" spans="1:12" ht="42" customHeight="1">
      <c r="A48" s="2"/>
      <c r="B48" s="2"/>
      <c r="C48" s="2"/>
      <c r="D48" s="2"/>
      <c r="E48" s="2"/>
      <c r="F48" s="2"/>
      <c r="G48" s="2"/>
      <c r="H48" s="2"/>
      <c r="I48" s="2"/>
      <c r="J48" s="2" t="str">
        <f t="shared" si="2"/>
        <v/>
      </c>
      <c r="K48" s="2" t="str">
        <f t="shared" si="3"/>
        <v/>
      </c>
      <c r="L48" s="2"/>
    </row>
    <row r="49" spans="1:12" ht="42" customHeight="1">
      <c r="A49" s="2"/>
      <c r="B49" s="2"/>
      <c r="C49" s="2"/>
      <c r="D49" s="2"/>
      <c r="E49" s="2"/>
      <c r="F49" s="2"/>
      <c r="G49" s="2"/>
      <c r="H49" s="2"/>
      <c r="I49" s="2"/>
      <c r="J49" s="2" t="str">
        <f t="shared" si="2"/>
        <v/>
      </c>
      <c r="K49" s="2" t="str">
        <f t="shared" si="3"/>
        <v/>
      </c>
      <c r="L49" s="2"/>
    </row>
    <row r="50" spans="1:12" ht="42" customHeight="1">
      <c r="A50" s="2"/>
      <c r="B50" s="2"/>
      <c r="C50" s="2"/>
      <c r="D50" s="2"/>
      <c r="E50" s="2"/>
      <c r="F50" s="2"/>
      <c r="G50" s="2"/>
      <c r="H50" s="2"/>
      <c r="I50" s="2"/>
      <c r="J50" s="2" t="str">
        <f t="shared" si="2"/>
        <v/>
      </c>
      <c r="K50" s="2" t="str">
        <f t="shared" si="3"/>
        <v/>
      </c>
      <c r="L50" s="2"/>
    </row>
    <row r="51" spans="1:12" ht="42" customHeight="1">
      <c r="A51" s="2"/>
      <c r="B51" s="2"/>
      <c r="C51" s="2"/>
      <c r="D51" s="2"/>
      <c r="E51" s="2"/>
      <c r="F51" s="2"/>
      <c r="G51" s="2"/>
      <c r="H51" s="2"/>
      <c r="I51" s="2"/>
      <c r="J51" s="2" t="str">
        <f t="shared" si="2"/>
        <v/>
      </c>
      <c r="K51" s="2" t="str">
        <f t="shared" si="3"/>
        <v/>
      </c>
      <c r="L51" s="2"/>
    </row>
    <row r="52" spans="1:12" ht="42" customHeight="1">
      <c r="A52" s="2"/>
      <c r="B52" s="2"/>
      <c r="C52" s="2"/>
      <c r="D52" s="2"/>
      <c r="E52" s="2"/>
      <c r="F52" s="2"/>
      <c r="G52" s="2"/>
      <c r="H52" s="2"/>
      <c r="I52" s="2"/>
      <c r="J52" s="2" t="str">
        <f t="shared" si="2"/>
        <v/>
      </c>
      <c r="K52" s="2" t="str">
        <f t="shared" si="3"/>
        <v/>
      </c>
      <c r="L52" s="2"/>
    </row>
    <row r="53" spans="1:12" ht="42" customHeight="1">
      <c r="A53" s="2"/>
      <c r="B53" s="2"/>
      <c r="C53" s="2"/>
      <c r="D53" s="2"/>
      <c r="E53" s="2"/>
      <c r="F53" s="2"/>
      <c r="G53" s="2"/>
      <c r="H53" s="2"/>
      <c r="I53" s="2"/>
      <c r="J53" s="2" t="str">
        <f t="shared" si="2"/>
        <v/>
      </c>
      <c r="K53" s="2" t="str">
        <f t="shared" si="3"/>
        <v/>
      </c>
      <c r="L53" s="2"/>
    </row>
    <row r="54" spans="1:12" ht="42" customHeight="1">
      <c r="A54" s="2"/>
      <c r="B54" s="2"/>
      <c r="C54" s="2"/>
      <c r="D54" s="2"/>
      <c r="E54" s="2"/>
      <c r="F54" s="2"/>
      <c r="G54" s="2"/>
      <c r="H54" s="2"/>
      <c r="I54" s="2"/>
      <c r="J54" s="2" t="str">
        <f t="shared" si="2"/>
        <v/>
      </c>
      <c r="K54" s="2" t="str">
        <f t="shared" si="3"/>
        <v/>
      </c>
      <c r="L54" s="2"/>
    </row>
    <row r="55" spans="1:12" ht="42" customHeight="1">
      <c r="A55" s="2"/>
      <c r="B55" s="2"/>
      <c r="C55" s="2"/>
      <c r="D55" s="2"/>
      <c r="E55" s="2"/>
      <c r="F55" s="2"/>
      <c r="G55" s="2"/>
      <c r="H55" s="2"/>
      <c r="I55" s="2"/>
      <c r="J55" s="2" t="str">
        <f t="shared" si="2"/>
        <v/>
      </c>
      <c r="K55" s="2" t="str">
        <f t="shared" si="3"/>
        <v/>
      </c>
      <c r="L55" s="2"/>
    </row>
    <row r="56" spans="1:12" ht="42" customHeight="1">
      <c r="A56" s="2"/>
      <c r="B56" s="2"/>
      <c r="C56" s="2"/>
      <c r="D56" s="2"/>
      <c r="E56" s="2"/>
      <c r="F56" s="2"/>
      <c r="G56" s="2"/>
      <c r="H56" s="2"/>
      <c r="I56" s="2"/>
      <c r="J56" s="2" t="str">
        <f t="shared" si="2"/>
        <v/>
      </c>
      <c r="K56" s="2" t="str">
        <f t="shared" si="3"/>
        <v/>
      </c>
      <c r="L56" s="2"/>
    </row>
    <row r="57" spans="1:12" ht="42" customHeight="1">
      <c r="A57" s="2"/>
      <c r="B57" s="2"/>
      <c r="C57" s="2"/>
      <c r="D57" s="2"/>
      <c r="E57" s="2"/>
      <c r="F57" s="2"/>
      <c r="G57" s="2"/>
      <c r="H57" s="2"/>
      <c r="I57" s="2"/>
      <c r="J57" s="2" t="str">
        <f t="shared" si="2"/>
        <v/>
      </c>
      <c r="K57" s="2" t="str">
        <f t="shared" si="3"/>
        <v/>
      </c>
      <c r="L57" s="2"/>
    </row>
    <row r="58" spans="1:12" ht="42" customHeight="1">
      <c r="A58" s="2"/>
      <c r="B58" s="2"/>
      <c r="C58" s="2"/>
      <c r="D58" s="2"/>
      <c r="E58" s="2"/>
      <c r="F58" s="2"/>
      <c r="G58" s="2"/>
      <c r="H58" s="2"/>
      <c r="I58" s="2"/>
      <c r="J58" s="2" t="str">
        <f t="shared" si="2"/>
        <v/>
      </c>
      <c r="K58" s="2" t="str">
        <f t="shared" si="3"/>
        <v/>
      </c>
      <c r="L58" s="2"/>
    </row>
    <row r="59" spans="1:12" ht="42" customHeight="1">
      <c r="A59" s="2"/>
      <c r="B59" s="2"/>
      <c r="C59" s="2"/>
      <c r="D59" s="2"/>
      <c r="E59" s="2"/>
      <c r="F59" s="2"/>
      <c r="G59" s="2"/>
      <c r="H59" s="2"/>
      <c r="I59" s="2"/>
      <c r="J59" s="2" t="str">
        <f t="shared" si="2"/>
        <v/>
      </c>
      <c r="K59" s="2" t="str">
        <f t="shared" si="3"/>
        <v/>
      </c>
      <c r="L59" s="2"/>
    </row>
    <row r="60" spans="1:12" ht="42" customHeight="1">
      <c r="A60" s="2"/>
      <c r="B60" s="2"/>
      <c r="C60" s="2"/>
      <c r="D60" s="2"/>
      <c r="E60" s="2"/>
      <c r="F60" s="2"/>
      <c r="G60" s="2"/>
      <c r="H60" s="2"/>
      <c r="I60" s="2"/>
      <c r="J60" s="2" t="str">
        <f t="shared" si="2"/>
        <v/>
      </c>
      <c r="K60" s="2" t="str">
        <f t="shared" si="3"/>
        <v/>
      </c>
      <c r="L60" s="2"/>
    </row>
    <row r="61" spans="1:12" ht="42" customHeight="1">
      <c r="A61" s="2"/>
      <c r="B61" s="2"/>
      <c r="C61" s="2"/>
      <c r="D61" s="2"/>
      <c r="E61" s="2"/>
      <c r="F61" s="2"/>
      <c r="G61" s="2"/>
      <c r="H61" s="2"/>
      <c r="I61" s="2"/>
      <c r="J61" s="2" t="str">
        <f t="shared" si="2"/>
        <v/>
      </c>
      <c r="K61" s="2" t="str">
        <f t="shared" si="3"/>
        <v/>
      </c>
      <c r="L61" s="2"/>
    </row>
    <row r="62" spans="1:12" ht="42" customHeight="1">
      <c r="A62" s="2"/>
      <c r="B62" s="2"/>
      <c r="C62" s="2"/>
      <c r="D62" s="2"/>
      <c r="E62" s="2"/>
      <c r="F62" s="2"/>
      <c r="G62" s="2"/>
      <c r="H62" s="2"/>
      <c r="I62" s="2"/>
      <c r="J62" s="2" t="str">
        <f t="shared" si="2"/>
        <v/>
      </c>
      <c r="K62" s="2" t="str">
        <f t="shared" si="3"/>
        <v/>
      </c>
      <c r="L62" s="2"/>
    </row>
    <row r="63" spans="1:12" ht="42" customHeight="1">
      <c r="A63" s="2"/>
      <c r="B63" s="2"/>
      <c r="C63" s="2"/>
      <c r="D63" s="2"/>
      <c r="E63" s="2"/>
      <c r="F63" s="2"/>
      <c r="G63" s="2"/>
      <c r="H63" s="2"/>
      <c r="I63" s="2"/>
      <c r="J63" s="2" t="str">
        <f t="shared" si="2"/>
        <v/>
      </c>
      <c r="K63" s="2" t="str">
        <f t="shared" si="3"/>
        <v/>
      </c>
      <c r="L63" s="2"/>
    </row>
    <row r="64" spans="1:12" ht="42" customHeight="1">
      <c r="A64" s="2"/>
      <c r="B64" s="2"/>
      <c r="C64" s="2"/>
      <c r="D64" s="2"/>
      <c r="E64" s="2"/>
      <c r="F64" s="2"/>
      <c r="G64" s="2"/>
      <c r="H64" s="2"/>
      <c r="I64" s="2"/>
      <c r="J64" s="2" t="str">
        <f t="shared" si="2"/>
        <v/>
      </c>
      <c r="K64" s="2" t="str">
        <f t="shared" si="3"/>
        <v/>
      </c>
      <c r="L64" s="2"/>
    </row>
    <row r="65" spans="1:12" ht="42" customHeight="1">
      <c r="A65" s="2"/>
      <c r="B65" s="2"/>
      <c r="C65" s="2"/>
      <c r="D65" s="2"/>
      <c r="E65" s="2"/>
      <c r="F65" s="2"/>
      <c r="G65" s="2"/>
      <c r="H65" s="2"/>
      <c r="I65" s="2"/>
      <c r="J65" s="2" t="str">
        <f t="shared" si="2"/>
        <v/>
      </c>
      <c r="K65" s="2" t="str">
        <f t="shared" si="3"/>
        <v/>
      </c>
      <c r="L65" s="2"/>
    </row>
    <row r="66" spans="1:12" ht="42" customHeight="1">
      <c r="A66" s="2"/>
      <c r="B66" s="2"/>
      <c r="C66" s="2"/>
      <c r="D66" s="2"/>
      <c r="E66" s="2"/>
      <c r="F66" s="2"/>
      <c r="G66" s="2"/>
      <c r="H66" s="2"/>
      <c r="I66" s="2"/>
      <c r="J66" s="2" t="str">
        <f t="shared" si="2"/>
        <v/>
      </c>
      <c r="K66" s="2" t="str">
        <f t="shared" si="3"/>
        <v/>
      </c>
      <c r="L66" s="2"/>
    </row>
    <row r="67" spans="1:12" ht="42" customHeight="1">
      <c r="A67" s="2"/>
      <c r="B67" s="2"/>
      <c r="C67" s="2"/>
      <c r="D67" s="2"/>
      <c r="E67" s="2"/>
      <c r="F67" s="2"/>
      <c r="G67" s="2"/>
      <c r="H67" s="2"/>
      <c r="I67" s="2"/>
      <c r="J67" s="2" t="str">
        <f t="shared" si="2"/>
        <v/>
      </c>
      <c r="K67" s="2" t="str">
        <f t="shared" si="3"/>
        <v/>
      </c>
      <c r="L67" s="2"/>
    </row>
    <row r="68" spans="1:12" ht="42" customHeight="1">
      <c r="A68" s="2"/>
      <c r="B68" s="2"/>
      <c r="C68" s="2"/>
      <c r="D68" s="2"/>
      <c r="E68" s="2"/>
      <c r="F68" s="2"/>
      <c r="G68" s="2"/>
      <c r="H68" s="2"/>
      <c r="I68" s="2"/>
      <c r="J68" s="2" t="str">
        <f t="shared" si="2"/>
        <v/>
      </c>
      <c r="K68" s="2" t="str">
        <f t="shared" si="3"/>
        <v/>
      </c>
      <c r="L68" s="2"/>
    </row>
    <row r="69" spans="1:12" ht="42" customHeight="1">
      <c r="A69" s="2"/>
      <c r="B69" s="2"/>
      <c r="C69" s="2"/>
      <c r="D69" s="2"/>
      <c r="E69" s="2"/>
      <c r="F69" s="2"/>
      <c r="G69" s="2"/>
      <c r="H69" s="2"/>
      <c r="I69" s="2"/>
      <c r="J69" s="2" t="str">
        <f t="shared" ref="J69:J100" si="4">IF(COUNTA(E69:I69)=0,"",ROUND(((E69*0.25)+(F69*0.2)+(G69*0.2)+(H69*0.15)+(I69*0.2))*20,0))</f>
        <v/>
      </c>
      <c r="K69" s="2" t="str">
        <f t="shared" ref="K69:K100" si="5">IF(J69="","",IF(J69&gt;=80,"Сильное решение",IF(J69&gt;=60,"Рыночный стандарт",IF(J69&gt;=40,"Частичное решение","Слабое решение"))))</f>
        <v/>
      </c>
      <c r="L69" s="2"/>
    </row>
    <row r="70" spans="1:12" ht="42" customHeight="1">
      <c r="A70" s="2"/>
      <c r="B70" s="2"/>
      <c r="C70" s="2"/>
      <c r="D70" s="2"/>
      <c r="E70" s="2"/>
      <c r="F70" s="2"/>
      <c r="G70" s="2"/>
      <c r="H70" s="2"/>
      <c r="I70" s="2"/>
      <c r="J70" s="2" t="str">
        <f t="shared" si="4"/>
        <v/>
      </c>
      <c r="K70" s="2" t="str">
        <f t="shared" si="5"/>
        <v/>
      </c>
      <c r="L70" s="2"/>
    </row>
    <row r="71" spans="1:12" ht="42" customHeight="1">
      <c r="A71" s="2"/>
      <c r="B71" s="2"/>
      <c r="C71" s="2"/>
      <c r="D71" s="2"/>
      <c r="E71" s="2"/>
      <c r="F71" s="2"/>
      <c r="G71" s="2"/>
      <c r="H71" s="2"/>
      <c r="I71" s="2"/>
      <c r="J71" s="2" t="str">
        <f t="shared" si="4"/>
        <v/>
      </c>
      <c r="K71" s="2" t="str">
        <f t="shared" si="5"/>
        <v/>
      </c>
      <c r="L71" s="2"/>
    </row>
    <row r="72" spans="1:12" ht="42" customHeight="1">
      <c r="A72" s="2"/>
      <c r="B72" s="2"/>
      <c r="C72" s="2"/>
      <c r="D72" s="2"/>
      <c r="E72" s="2"/>
      <c r="F72" s="2"/>
      <c r="G72" s="2"/>
      <c r="H72" s="2"/>
      <c r="I72" s="2"/>
      <c r="J72" s="2" t="str">
        <f t="shared" si="4"/>
        <v/>
      </c>
      <c r="K72" s="2" t="str">
        <f t="shared" si="5"/>
        <v/>
      </c>
      <c r="L72" s="2"/>
    </row>
    <row r="73" spans="1:12" ht="42" customHeight="1">
      <c r="A73" s="2"/>
      <c r="B73" s="2"/>
      <c r="C73" s="2"/>
      <c r="D73" s="2"/>
      <c r="E73" s="2"/>
      <c r="F73" s="2"/>
      <c r="G73" s="2"/>
      <c r="H73" s="2"/>
      <c r="I73" s="2"/>
      <c r="J73" s="2" t="str">
        <f t="shared" si="4"/>
        <v/>
      </c>
      <c r="K73" s="2" t="str">
        <f t="shared" si="5"/>
        <v/>
      </c>
      <c r="L73" s="2"/>
    </row>
    <row r="74" spans="1:12" ht="42" customHeight="1">
      <c r="A74" s="2"/>
      <c r="B74" s="2"/>
      <c r="C74" s="2"/>
      <c r="D74" s="2"/>
      <c r="E74" s="2"/>
      <c r="F74" s="2"/>
      <c r="G74" s="2"/>
      <c r="H74" s="2"/>
      <c r="I74" s="2"/>
      <c r="J74" s="2" t="str">
        <f t="shared" si="4"/>
        <v/>
      </c>
      <c r="K74" s="2" t="str">
        <f t="shared" si="5"/>
        <v/>
      </c>
      <c r="L74" s="2"/>
    </row>
    <row r="75" spans="1:12" ht="42" customHeight="1">
      <c r="A75" s="2"/>
      <c r="B75" s="2"/>
      <c r="C75" s="2"/>
      <c r="D75" s="2"/>
      <c r="E75" s="2"/>
      <c r="F75" s="2"/>
      <c r="G75" s="2"/>
      <c r="H75" s="2"/>
      <c r="I75" s="2"/>
      <c r="J75" s="2" t="str">
        <f t="shared" si="4"/>
        <v/>
      </c>
      <c r="K75" s="2" t="str">
        <f t="shared" si="5"/>
        <v/>
      </c>
      <c r="L75" s="2"/>
    </row>
    <row r="76" spans="1:12" ht="42" customHeight="1">
      <c r="A76" s="2"/>
      <c r="B76" s="2"/>
      <c r="C76" s="2"/>
      <c r="D76" s="2"/>
      <c r="E76" s="2"/>
      <c r="F76" s="2"/>
      <c r="G76" s="2"/>
      <c r="H76" s="2"/>
      <c r="I76" s="2"/>
      <c r="J76" s="2" t="str">
        <f t="shared" si="4"/>
        <v/>
      </c>
      <c r="K76" s="2" t="str">
        <f t="shared" si="5"/>
        <v/>
      </c>
      <c r="L76" s="2"/>
    </row>
    <row r="77" spans="1:12" ht="42" customHeight="1">
      <c r="A77" s="2"/>
      <c r="B77" s="2"/>
      <c r="C77" s="2"/>
      <c r="D77" s="2"/>
      <c r="E77" s="2"/>
      <c r="F77" s="2"/>
      <c r="G77" s="2"/>
      <c r="H77" s="2"/>
      <c r="I77" s="2"/>
      <c r="J77" s="2" t="str">
        <f t="shared" si="4"/>
        <v/>
      </c>
      <c r="K77" s="2" t="str">
        <f t="shared" si="5"/>
        <v/>
      </c>
      <c r="L77" s="2"/>
    </row>
    <row r="78" spans="1:12" ht="42" customHeight="1">
      <c r="A78" s="2"/>
      <c r="B78" s="2"/>
      <c r="C78" s="2"/>
      <c r="D78" s="2"/>
      <c r="E78" s="2"/>
      <c r="F78" s="2"/>
      <c r="G78" s="2"/>
      <c r="H78" s="2"/>
      <c r="I78" s="2"/>
      <c r="J78" s="2" t="str">
        <f t="shared" si="4"/>
        <v/>
      </c>
      <c r="K78" s="2" t="str">
        <f t="shared" si="5"/>
        <v/>
      </c>
      <c r="L78" s="2"/>
    </row>
    <row r="79" spans="1:12" ht="42" customHeight="1">
      <c r="A79" s="2"/>
      <c r="B79" s="2"/>
      <c r="C79" s="2"/>
      <c r="D79" s="2"/>
      <c r="E79" s="2"/>
      <c r="F79" s="2"/>
      <c r="G79" s="2"/>
      <c r="H79" s="2"/>
      <c r="I79" s="2"/>
      <c r="J79" s="2" t="str">
        <f t="shared" si="4"/>
        <v/>
      </c>
      <c r="K79" s="2" t="str">
        <f t="shared" si="5"/>
        <v/>
      </c>
      <c r="L79" s="2"/>
    </row>
    <row r="80" spans="1:12" ht="42" customHeight="1">
      <c r="A80" s="2"/>
      <c r="B80" s="2"/>
      <c r="C80" s="2"/>
      <c r="D80" s="2"/>
      <c r="E80" s="2"/>
      <c r="F80" s="2"/>
      <c r="G80" s="2"/>
      <c r="H80" s="2"/>
      <c r="I80" s="2"/>
      <c r="J80" s="2" t="str">
        <f t="shared" si="4"/>
        <v/>
      </c>
      <c r="K80" s="2" t="str">
        <f t="shared" si="5"/>
        <v/>
      </c>
      <c r="L80" s="2"/>
    </row>
    <row r="81" spans="1:12" ht="42" customHeight="1">
      <c r="A81" s="2"/>
      <c r="B81" s="2"/>
      <c r="C81" s="2"/>
      <c r="D81" s="2"/>
      <c r="E81" s="2"/>
      <c r="F81" s="2"/>
      <c r="G81" s="2"/>
      <c r="H81" s="2"/>
      <c r="I81" s="2"/>
      <c r="J81" s="2" t="str">
        <f t="shared" si="4"/>
        <v/>
      </c>
      <c r="K81" s="2" t="str">
        <f t="shared" si="5"/>
        <v/>
      </c>
      <c r="L81" s="2"/>
    </row>
    <row r="82" spans="1:12" ht="42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 t="shared" si="4"/>
        <v/>
      </c>
      <c r="K82" s="2" t="str">
        <f t="shared" si="5"/>
        <v/>
      </c>
      <c r="L82" s="2"/>
    </row>
    <row r="83" spans="1:12" ht="42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 t="shared" si="4"/>
        <v/>
      </c>
      <c r="K83" s="2" t="str">
        <f t="shared" si="5"/>
        <v/>
      </c>
      <c r="L83" s="2"/>
    </row>
    <row r="84" spans="1:12" ht="42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 t="shared" si="4"/>
        <v/>
      </c>
      <c r="K84" s="2" t="str">
        <f t="shared" si="5"/>
        <v/>
      </c>
      <c r="L84" s="2"/>
    </row>
    <row r="85" spans="1:12" ht="42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 t="shared" si="4"/>
        <v/>
      </c>
      <c r="K85" s="2" t="str">
        <f t="shared" si="5"/>
        <v/>
      </c>
      <c r="L85" s="2"/>
    </row>
    <row r="86" spans="1:12" ht="42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 t="shared" si="4"/>
        <v/>
      </c>
      <c r="K86" s="2" t="str">
        <f t="shared" si="5"/>
        <v/>
      </c>
      <c r="L86" s="2"/>
    </row>
    <row r="87" spans="1:12" ht="42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 t="shared" si="4"/>
        <v/>
      </c>
      <c r="K87" s="2" t="str">
        <f t="shared" si="5"/>
        <v/>
      </c>
      <c r="L87" s="2"/>
    </row>
    <row r="88" spans="1:12" ht="42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 t="shared" si="4"/>
        <v/>
      </c>
      <c r="K88" s="2" t="str">
        <f t="shared" si="5"/>
        <v/>
      </c>
      <c r="L88" s="2"/>
    </row>
    <row r="89" spans="1:12" ht="42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 t="shared" si="4"/>
        <v/>
      </c>
      <c r="K89" s="2" t="str">
        <f t="shared" si="5"/>
        <v/>
      </c>
      <c r="L89" s="2"/>
    </row>
    <row r="90" spans="1:12" ht="42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 t="shared" si="4"/>
        <v/>
      </c>
      <c r="K90" s="2" t="str">
        <f t="shared" si="5"/>
        <v/>
      </c>
      <c r="L90" s="2"/>
    </row>
    <row r="91" spans="1:12" ht="42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 t="shared" si="4"/>
        <v/>
      </c>
      <c r="K91" s="2" t="str">
        <f t="shared" si="5"/>
        <v/>
      </c>
      <c r="L91" s="2"/>
    </row>
    <row r="92" spans="1:12" ht="42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 t="shared" si="4"/>
        <v/>
      </c>
      <c r="K92" s="2" t="str">
        <f t="shared" si="5"/>
        <v/>
      </c>
      <c r="L92" s="2"/>
    </row>
    <row r="93" spans="1:12" ht="42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 t="shared" si="4"/>
        <v/>
      </c>
      <c r="K93" s="2" t="str">
        <f t="shared" si="5"/>
        <v/>
      </c>
      <c r="L93" s="2"/>
    </row>
    <row r="94" spans="1:12" ht="42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 t="shared" si="4"/>
        <v/>
      </c>
      <c r="K94" s="2" t="str">
        <f t="shared" si="5"/>
        <v/>
      </c>
      <c r="L94" s="2"/>
    </row>
    <row r="95" spans="1:12" ht="42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 t="shared" si="4"/>
        <v/>
      </c>
      <c r="K95" s="2" t="str">
        <f t="shared" si="5"/>
        <v/>
      </c>
      <c r="L95" s="2"/>
    </row>
    <row r="96" spans="1:12" ht="42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 t="shared" si="4"/>
        <v/>
      </c>
      <c r="K96" s="2" t="str">
        <f t="shared" si="5"/>
        <v/>
      </c>
      <c r="L96" s="2"/>
    </row>
    <row r="97" spans="1:12" ht="42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 t="shared" si="4"/>
        <v/>
      </c>
      <c r="K97" s="2" t="str">
        <f t="shared" si="5"/>
        <v/>
      </c>
      <c r="L97" s="2"/>
    </row>
    <row r="98" spans="1:12" ht="42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 t="shared" si="4"/>
        <v/>
      </c>
      <c r="K98" s="2" t="str">
        <f t="shared" si="5"/>
        <v/>
      </c>
      <c r="L98" s="2"/>
    </row>
    <row r="99" spans="1:12" ht="42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 t="shared" si="4"/>
        <v/>
      </c>
      <c r="K99" s="2" t="str">
        <f t="shared" si="5"/>
        <v/>
      </c>
      <c r="L99" s="2"/>
    </row>
    <row r="100" spans="1:12" ht="42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 t="shared" si="4"/>
        <v/>
      </c>
      <c r="K100" s="2" t="str">
        <f t="shared" si="5"/>
        <v/>
      </c>
      <c r="L100" s="2"/>
    </row>
    <row r="101" spans="1:12" ht="42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 t="shared" ref="J101:J132" si="6">IF(COUNTA(E101:I101)=0,"",ROUND(((E101*0.25)+(F101*0.2)+(G101*0.2)+(H101*0.15)+(I101*0.2))*20,0))</f>
        <v/>
      </c>
      <c r="K101" s="2" t="str">
        <f t="shared" ref="K101:K132" si="7">IF(J101="","",IF(J101&gt;=80,"Сильное решение",IF(J101&gt;=60,"Рыночный стандарт",IF(J101&gt;=40,"Частичное решение","Слабое решение"))))</f>
        <v/>
      </c>
      <c r="L101" s="2"/>
    </row>
    <row r="102" spans="1:12" ht="42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 t="shared" si="6"/>
        <v/>
      </c>
      <c r="K102" s="2" t="str">
        <f t="shared" si="7"/>
        <v/>
      </c>
      <c r="L102" s="2"/>
    </row>
    <row r="103" spans="1:12" ht="42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 t="shared" si="6"/>
        <v/>
      </c>
      <c r="K103" s="2" t="str">
        <f t="shared" si="7"/>
        <v/>
      </c>
      <c r="L103" s="2"/>
    </row>
    <row r="104" spans="1:12" ht="42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 t="shared" si="6"/>
        <v/>
      </c>
      <c r="K104" s="2" t="str">
        <f t="shared" si="7"/>
        <v/>
      </c>
      <c r="L104" s="2"/>
    </row>
  </sheetData>
  <mergeCells count="2">
    <mergeCell ref="A1:L1"/>
    <mergeCell ref="A2:L2"/>
  </mergeCells>
  <conditionalFormatting sqref="J5:J104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{FDC0EADE-75BF-1EAB-B951-F21AFC751BD7}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C0EADE-75BF-1EAB-B951-F21AFC751BD7}">
            <x14:dataBar>
              <x14:cfvo type="min"/>
              <x14:cfvo type="max"/>
              <x14:negativeFillColor auto="1"/>
              <x14:axisColor auto="1"/>
            </x14:dataBar>
          </x14:cfRule>
          <xm:sqref>J5:J104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Справочники!$A$4:$A$8</xm:f>
          </x14:formula1>
          <xm:sqref>E5:I104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4"/>
  <sheetViews>
    <sheetView workbookViewId="0"/>
  </sheetViews>
  <sheetFormatPr defaultRowHeight="14.25"/>
  <cols>
    <col min="1" max="2" width="12" customWidth="1"/>
    <col min="3" max="3" width="16" customWidth="1"/>
    <col min="4" max="5" width="42" customWidth="1"/>
    <col min="6" max="6" width="36" customWidth="1"/>
    <col min="7" max="7" width="42" customWidth="1"/>
    <col min="8" max="8" width="64" customWidth="1"/>
    <col min="9" max="10" width="24" customWidth="1"/>
    <col min="11" max="11" width="16" customWidth="1"/>
    <col min="12" max="12" width="18" customWidth="1"/>
    <col min="13" max="13" width="28" customWidth="1"/>
  </cols>
  <sheetData>
    <row r="1" spans="1:13" ht="27.95" customHeight="1">
      <c r="A1" s="17" t="s">
        <v>161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3.950000000000003" customHeight="1">
      <c r="A2" s="19" t="s">
        <v>162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33.950000000000003" customHeight="1">
      <c r="A4" s="1" t="s">
        <v>163</v>
      </c>
      <c r="B4" s="1" t="s">
        <v>137</v>
      </c>
      <c r="C4" s="1" t="s">
        <v>138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169</v>
      </c>
      <c r="J4" s="1" t="s">
        <v>170</v>
      </c>
      <c r="K4" s="1" t="s">
        <v>147</v>
      </c>
      <c r="L4" s="1" t="s">
        <v>10</v>
      </c>
      <c r="M4" s="1" t="s">
        <v>130</v>
      </c>
    </row>
    <row r="5" spans="1:13" ht="42" customHeight="1">
      <c r="A5" s="2" t="s">
        <v>171</v>
      </c>
      <c r="B5" s="2" t="s">
        <v>148</v>
      </c>
      <c r="C5" s="2" t="s">
        <v>27</v>
      </c>
      <c r="D5" s="2" t="s">
        <v>379</v>
      </c>
      <c r="E5" s="2" t="s">
        <v>380</v>
      </c>
      <c r="F5" s="2" t="s">
        <v>381</v>
      </c>
      <c r="G5" s="2" t="s">
        <v>382</v>
      </c>
      <c r="H5" s="2" t="s">
        <v>383</v>
      </c>
      <c r="I5" s="2" t="s">
        <v>18</v>
      </c>
      <c r="J5" s="2" t="s">
        <v>17</v>
      </c>
      <c r="K5" s="2">
        <f>IF(B5="","",IFERROR(INDEX('Проблемы клиентов'!$K$5:$K$104,MATCH(B5,'Проблемы клиентов'!$A$5:$A$104,0)),0))</f>
        <v>90</v>
      </c>
      <c r="L5" s="2" t="str">
        <f t="shared" ref="L5:L36" si="0">IF(A5="","",IF(AND(B5&lt;&gt;"",F5&lt;&gt;"",G5&lt;&gt;"",H5&lt;&gt;"",I5&lt;&gt;"",J5&lt;&gt;""),"Готово","Нужно дополнить"))</f>
        <v>Готово</v>
      </c>
      <c r="M5" s="2" t="s">
        <v>384</v>
      </c>
    </row>
    <row r="6" spans="1:13" ht="42" customHeight="1">
      <c r="A6" s="2" t="s">
        <v>385</v>
      </c>
      <c r="B6" s="2" t="s">
        <v>149</v>
      </c>
      <c r="C6" s="2" t="s">
        <v>15</v>
      </c>
      <c r="D6" s="2" t="s">
        <v>386</v>
      </c>
      <c r="E6" s="2" t="s">
        <v>387</v>
      </c>
      <c r="F6" s="2" t="s">
        <v>388</v>
      </c>
      <c r="G6" s="2" t="s">
        <v>389</v>
      </c>
      <c r="H6" s="2" t="s">
        <v>390</v>
      </c>
      <c r="I6" s="2" t="s">
        <v>53</v>
      </c>
      <c r="J6" s="2" t="s">
        <v>69</v>
      </c>
      <c r="K6" s="2">
        <f>IF(B6="","",IFERROR(INDEX('Проблемы клиентов'!$K$5:$K$104,MATCH(B6,'Проблемы клиентов'!$A$5:$A$104,0)),0))</f>
        <v>71</v>
      </c>
      <c r="L6" s="2" t="str">
        <f t="shared" si="0"/>
        <v>Готово</v>
      </c>
      <c r="M6" s="2" t="s">
        <v>391</v>
      </c>
    </row>
    <row r="7" spans="1:13" ht="42" customHeight="1">
      <c r="A7" s="2" t="s">
        <v>392</v>
      </c>
      <c r="B7" s="2" t="s">
        <v>351</v>
      </c>
      <c r="C7" s="2" t="s">
        <v>15</v>
      </c>
      <c r="D7" s="2" t="s">
        <v>393</v>
      </c>
      <c r="E7" s="2" t="s">
        <v>394</v>
      </c>
      <c r="F7" s="2" t="s">
        <v>395</v>
      </c>
      <c r="G7" s="2" t="s">
        <v>396</v>
      </c>
      <c r="H7" s="2" t="s">
        <v>397</v>
      </c>
      <c r="I7" s="2" t="s">
        <v>70</v>
      </c>
      <c r="J7" s="2" t="s">
        <v>17</v>
      </c>
      <c r="K7" s="2">
        <f>IF(B7="","",IFERROR(INDEX('Проблемы клиентов'!$K$5:$K$104,MATCH(B7,'Проблемы клиентов'!$A$5:$A$104,0)),0))</f>
        <v>63</v>
      </c>
      <c r="L7" s="2" t="str">
        <f t="shared" si="0"/>
        <v>Готово</v>
      </c>
      <c r="M7" s="2" t="s">
        <v>398</v>
      </c>
    </row>
    <row r="8" spans="1:13" ht="42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 t="str">
        <f>IF(B8="","",IFERROR(INDEX('Проблемы клиентов'!$K$5:$K$104,MATCH(B8,'Проблемы клиентов'!$A$5:$A$104,0)),0))</f>
        <v/>
      </c>
      <c r="L8" s="2" t="str">
        <f t="shared" si="0"/>
        <v/>
      </c>
      <c r="M8" s="2"/>
    </row>
    <row r="9" spans="1:13" ht="42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 t="str">
        <f>IF(B9="","",IFERROR(INDEX('Проблемы клиентов'!$K$5:$K$104,MATCH(B9,'Проблемы клиентов'!$A$5:$A$104,0)),0))</f>
        <v/>
      </c>
      <c r="L9" s="2" t="str">
        <f t="shared" si="0"/>
        <v/>
      </c>
      <c r="M9" s="2"/>
    </row>
    <row r="10" spans="1:13" ht="4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 t="str">
        <f>IF(B10="","",IFERROR(INDEX('Проблемы клиентов'!$K$5:$K$104,MATCH(B10,'Проблемы клиентов'!$A$5:$A$104,0)),0))</f>
        <v/>
      </c>
      <c r="L10" s="2" t="str">
        <f t="shared" si="0"/>
        <v/>
      </c>
      <c r="M10" s="2"/>
    </row>
    <row r="11" spans="1:13" ht="42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tr">
        <f>IF(B11="","",IFERROR(INDEX('Проблемы клиентов'!$K$5:$K$104,MATCH(B11,'Проблемы клиентов'!$A$5:$A$104,0)),0))</f>
        <v/>
      </c>
      <c r="L11" s="2" t="str">
        <f t="shared" si="0"/>
        <v/>
      </c>
      <c r="M11" s="2"/>
    </row>
    <row r="12" spans="1:13" ht="42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tr">
        <f>IF(B12="","",IFERROR(INDEX('Проблемы клиентов'!$K$5:$K$104,MATCH(B12,'Проблемы клиентов'!$A$5:$A$104,0)),0))</f>
        <v/>
      </c>
      <c r="L12" s="2" t="str">
        <f t="shared" si="0"/>
        <v/>
      </c>
      <c r="M12" s="2"/>
    </row>
    <row r="13" spans="1:13" ht="42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tr">
        <f>IF(B13="","",IFERROR(INDEX('Проблемы клиентов'!$K$5:$K$104,MATCH(B13,'Проблемы клиентов'!$A$5:$A$104,0)),0))</f>
        <v/>
      </c>
      <c r="L13" s="2" t="str">
        <f t="shared" si="0"/>
        <v/>
      </c>
      <c r="M13" s="2"/>
    </row>
    <row r="14" spans="1:13" ht="4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tr">
        <f>IF(B14="","",IFERROR(INDEX('Проблемы клиентов'!$K$5:$K$104,MATCH(B14,'Проблемы клиентов'!$A$5:$A$104,0)),0))</f>
        <v/>
      </c>
      <c r="L14" s="2" t="str">
        <f t="shared" si="0"/>
        <v/>
      </c>
      <c r="M14" s="2"/>
    </row>
    <row r="15" spans="1:13" ht="4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tr">
        <f>IF(B15="","",IFERROR(INDEX('Проблемы клиентов'!$K$5:$K$104,MATCH(B15,'Проблемы клиентов'!$A$5:$A$104,0)),0))</f>
        <v/>
      </c>
      <c r="L15" s="2" t="str">
        <f t="shared" si="0"/>
        <v/>
      </c>
      <c r="M15" s="2"/>
    </row>
    <row r="16" spans="1:13" ht="4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tr">
        <f>IF(B16="","",IFERROR(INDEX('Проблемы клиентов'!$K$5:$K$104,MATCH(B16,'Проблемы клиентов'!$A$5:$A$104,0)),0))</f>
        <v/>
      </c>
      <c r="L16" s="2" t="str">
        <f t="shared" si="0"/>
        <v/>
      </c>
      <c r="M16" s="2"/>
    </row>
    <row r="17" spans="1:13" ht="4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tr">
        <f>IF(B17="","",IFERROR(INDEX('Проблемы клиентов'!$K$5:$K$104,MATCH(B17,'Проблемы клиентов'!$A$5:$A$104,0)),0))</f>
        <v/>
      </c>
      <c r="L17" s="2" t="str">
        <f t="shared" si="0"/>
        <v/>
      </c>
      <c r="M17" s="2"/>
    </row>
    <row r="18" spans="1:13" ht="4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tr">
        <f>IF(B18="","",IFERROR(INDEX('Проблемы клиентов'!$K$5:$K$104,MATCH(B18,'Проблемы клиентов'!$A$5:$A$104,0)),0))</f>
        <v/>
      </c>
      <c r="L18" s="2" t="str">
        <f t="shared" si="0"/>
        <v/>
      </c>
      <c r="M18" s="2"/>
    </row>
    <row r="19" spans="1:13" ht="4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tr">
        <f>IF(B19="","",IFERROR(INDEX('Проблемы клиентов'!$K$5:$K$104,MATCH(B19,'Проблемы клиентов'!$A$5:$A$104,0)),0))</f>
        <v/>
      </c>
      <c r="L19" s="2" t="str">
        <f t="shared" si="0"/>
        <v/>
      </c>
      <c r="M19" s="2"/>
    </row>
    <row r="20" spans="1:13" ht="4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tr">
        <f>IF(B20="","",IFERROR(INDEX('Проблемы клиентов'!$K$5:$K$104,MATCH(B20,'Проблемы клиентов'!$A$5:$A$104,0)),0))</f>
        <v/>
      </c>
      <c r="L20" s="2" t="str">
        <f t="shared" si="0"/>
        <v/>
      </c>
      <c r="M20" s="2"/>
    </row>
    <row r="21" spans="1:13" ht="4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tr">
        <f>IF(B21="","",IFERROR(INDEX('Проблемы клиентов'!$K$5:$K$104,MATCH(B21,'Проблемы клиентов'!$A$5:$A$104,0)),0))</f>
        <v/>
      </c>
      <c r="L21" s="2" t="str">
        <f t="shared" si="0"/>
        <v/>
      </c>
      <c r="M21" s="2"/>
    </row>
    <row r="22" spans="1:13" ht="4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tr">
        <f>IF(B22="","",IFERROR(INDEX('Проблемы клиентов'!$K$5:$K$104,MATCH(B22,'Проблемы клиентов'!$A$5:$A$104,0)),0))</f>
        <v/>
      </c>
      <c r="L22" s="2" t="str">
        <f t="shared" si="0"/>
        <v/>
      </c>
      <c r="M22" s="2"/>
    </row>
    <row r="23" spans="1:13" ht="4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f>IF(B23="","",IFERROR(INDEX('Проблемы клиентов'!$K$5:$K$104,MATCH(B23,'Проблемы клиентов'!$A$5:$A$104,0)),0))</f>
        <v/>
      </c>
      <c r="L23" s="2" t="str">
        <f t="shared" si="0"/>
        <v/>
      </c>
      <c r="M23" s="2"/>
    </row>
    <row r="24" spans="1:13" ht="4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>IF(B24="","",IFERROR(INDEX('Проблемы клиентов'!$K$5:$K$104,MATCH(B24,'Проблемы клиентов'!$A$5:$A$104,0)),0))</f>
        <v/>
      </c>
      <c r="L24" s="2" t="str">
        <f t="shared" si="0"/>
        <v/>
      </c>
      <c r="M24" s="2"/>
    </row>
    <row r="25" spans="1:13" ht="4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tr">
        <f>IF(B25="","",IFERROR(INDEX('Проблемы клиентов'!$K$5:$K$104,MATCH(B25,'Проблемы клиентов'!$A$5:$A$104,0)),0))</f>
        <v/>
      </c>
      <c r="L25" s="2" t="str">
        <f t="shared" si="0"/>
        <v/>
      </c>
      <c r="M25" s="2"/>
    </row>
    <row r="26" spans="1:13" ht="42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tr">
        <f>IF(B26="","",IFERROR(INDEX('Проблемы клиентов'!$K$5:$K$104,MATCH(B26,'Проблемы клиентов'!$A$5:$A$104,0)),0))</f>
        <v/>
      </c>
      <c r="L26" s="2" t="str">
        <f t="shared" si="0"/>
        <v/>
      </c>
      <c r="M26" s="2"/>
    </row>
    <row r="27" spans="1:13" ht="4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tr">
        <f>IF(B27="","",IFERROR(INDEX('Проблемы клиентов'!$K$5:$K$104,MATCH(B27,'Проблемы клиентов'!$A$5:$A$104,0)),0))</f>
        <v/>
      </c>
      <c r="L27" s="2" t="str">
        <f t="shared" si="0"/>
        <v/>
      </c>
      <c r="M27" s="2"/>
    </row>
    <row r="28" spans="1:13" ht="4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tr">
        <f>IF(B28="","",IFERROR(INDEX('Проблемы клиентов'!$K$5:$K$104,MATCH(B28,'Проблемы клиентов'!$A$5:$A$104,0)),0))</f>
        <v/>
      </c>
      <c r="L28" s="2" t="str">
        <f t="shared" si="0"/>
        <v/>
      </c>
      <c r="M28" s="2"/>
    </row>
    <row r="29" spans="1:13" ht="4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tr">
        <f>IF(B29="","",IFERROR(INDEX('Проблемы клиентов'!$K$5:$K$104,MATCH(B29,'Проблемы клиентов'!$A$5:$A$104,0)),0))</f>
        <v/>
      </c>
      <c r="L29" s="2" t="str">
        <f t="shared" si="0"/>
        <v/>
      </c>
      <c r="M29" s="2"/>
    </row>
    <row r="30" spans="1:13" ht="42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>IF(B30="","",IFERROR(INDEX('Проблемы клиентов'!$K$5:$K$104,MATCH(B30,'Проблемы клиентов'!$A$5:$A$104,0)),0))</f>
        <v/>
      </c>
      <c r="L30" s="2" t="str">
        <f t="shared" si="0"/>
        <v/>
      </c>
      <c r="M30" s="2"/>
    </row>
    <row r="31" spans="1:13" ht="4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tr">
        <f>IF(B31="","",IFERROR(INDEX('Проблемы клиентов'!$K$5:$K$104,MATCH(B31,'Проблемы клиентов'!$A$5:$A$104,0)),0))</f>
        <v/>
      </c>
      <c r="L31" s="2" t="str">
        <f t="shared" si="0"/>
        <v/>
      </c>
      <c r="M31" s="2"/>
    </row>
    <row r="32" spans="1:13" ht="4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tr">
        <f>IF(B32="","",IFERROR(INDEX('Проблемы клиентов'!$K$5:$K$104,MATCH(B32,'Проблемы клиентов'!$A$5:$A$104,0)),0))</f>
        <v/>
      </c>
      <c r="L32" s="2" t="str">
        <f t="shared" si="0"/>
        <v/>
      </c>
      <c r="M32" s="2"/>
    </row>
    <row r="33" spans="1:13" ht="42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tr">
        <f>IF(B33="","",IFERROR(INDEX('Проблемы клиентов'!$K$5:$K$104,MATCH(B33,'Проблемы клиентов'!$A$5:$A$104,0)),0))</f>
        <v/>
      </c>
      <c r="L33" s="2" t="str">
        <f t="shared" si="0"/>
        <v/>
      </c>
      <c r="M33" s="2"/>
    </row>
    <row r="34" spans="1:13" ht="4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tr">
        <f>IF(B34="","",IFERROR(INDEX('Проблемы клиентов'!$K$5:$K$104,MATCH(B34,'Проблемы клиентов'!$A$5:$A$104,0)),0))</f>
        <v/>
      </c>
      <c r="L34" s="2" t="str">
        <f t="shared" si="0"/>
        <v/>
      </c>
      <c r="M34" s="2"/>
    </row>
    <row r="35" spans="1:13" ht="4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tr">
        <f>IF(B35="","",IFERROR(INDEX('Проблемы клиентов'!$K$5:$K$104,MATCH(B35,'Проблемы клиентов'!$A$5:$A$104,0)),0))</f>
        <v/>
      </c>
      <c r="L35" s="2" t="str">
        <f t="shared" si="0"/>
        <v/>
      </c>
      <c r="M35" s="2"/>
    </row>
    <row r="36" spans="1:13" ht="4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tr">
        <f>IF(B36="","",IFERROR(INDEX('Проблемы клиентов'!$K$5:$K$104,MATCH(B36,'Проблемы клиентов'!$A$5:$A$104,0)),0))</f>
        <v/>
      </c>
      <c r="L36" s="2" t="str">
        <f t="shared" si="0"/>
        <v/>
      </c>
      <c r="M36" s="2"/>
    </row>
    <row r="37" spans="1:13" ht="4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tr">
        <f>IF(B37="","",IFERROR(INDEX('Проблемы клиентов'!$K$5:$K$104,MATCH(B37,'Проблемы клиентов'!$A$5:$A$104,0)),0))</f>
        <v/>
      </c>
      <c r="L37" s="2" t="str">
        <f t="shared" ref="L37:L68" si="1">IF(A37="","",IF(AND(B37&lt;&gt;"",F37&lt;&gt;"",G37&lt;&gt;"",H37&lt;&gt;"",I37&lt;&gt;"",J37&lt;&gt;""),"Готово","Нужно дополнить"))</f>
        <v/>
      </c>
      <c r="M37" s="2"/>
    </row>
    <row r="38" spans="1:13" ht="4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tr">
        <f>IF(B38="","",IFERROR(INDEX('Проблемы клиентов'!$K$5:$K$104,MATCH(B38,'Проблемы клиентов'!$A$5:$A$104,0)),0))</f>
        <v/>
      </c>
      <c r="L38" s="2" t="str">
        <f t="shared" si="1"/>
        <v/>
      </c>
      <c r="M38" s="2"/>
    </row>
    <row r="39" spans="1:13" ht="4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tr">
        <f>IF(B39="","",IFERROR(INDEX('Проблемы клиентов'!$K$5:$K$104,MATCH(B39,'Проблемы клиентов'!$A$5:$A$104,0)),0))</f>
        <v/>
      </c>
      <c r="L39" s="2" t="str">
        <f t="shared" si="1"/>
        <v/>
      </c>
      <c r="M39" s="2"/>
    </row>
    <row r="40" spans="1:13" ht="4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tr">
        <f>IF(B40="","",IFERROR(INDEX('Проблемы клиентов'!$K$5:$K$104,MATCH(B40,'Проблемы клиентов'!$A$5:$A$104,0)),0))</f>
        <v/>
      </c>
      <c r="L40" s="2" t="str">
        <f t="shared" si="1"/>
        <v/>
      </c>
      <c r="M40" s="2"/>
    </row>
    <row r="41" spans="1:13" ht="4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f>IF(B41="","",IFERROR(INDEX('Проблемы клиентов'!$K$5:$K$104,MATCH(B41,'Проблемы клиентов'!$A$5:$A$104,0)),0))</f>
        <v/>
      </c>
      <c r="L41" s="2" t="str">
        <f t="shared" si="1"/>
        <v/>
      </c>
      <c r="M41" s="2"/>
    </row>
    <row r="42" spans="1:13" ht="4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tr">
        <f>IF(B42="","",IFERROR(INDEX('Проблемы клиентов'!$K$5:$K$104,MATCH(B42,'Проблемы клиентов'!$A$5:$A$104,0)),0))</f>
        <v/>
      </c>
      <c r="L42" s="2" t="str">
        <f t="shared" si="1"/>
        <v/>
      </c>
      <c r="M42" s="2"/>
    </row>
    <row r="43" spans="1:13" ht="4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tr">
        <f>IF(B43="","",IFERROR(INDEX('Проблемы клиентов'!$K$5:$K$104,MATCH(B43,'Проблемы клиентов'!$A$5:$A$104,0)),0))</f>
        <v/>
      </c>
      <c r="L43" s="2" t="str">
        <f t="shared" si="1"/>
        <v/>
      </c>
      <c r="M43" s="2"/>
    </row>
    <row r="44" spans="1:13" ht="4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tr">
        <f>IF(B44="","",IFERROR(INDEX('Проблемы клиентов'!$K$5:$K$104,MATCH(B44,'Проблемы клиентов'!$A$5:$A$104,0)),0))</f>
        <v/>
      </c>
      <c r="L44" s="2" t="str">
        <f t="shared" si="1"/>
        <v/>
      </c>
      <c r="M44" s="2"/>
    </row>
    <row r="45" spans="1:13" ht="4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tr">
        <f>IF(B45="","",IFERROR(INDEX('Проблемы клиентов'!$K$5:$K$104,MATCH(B45,'Проблемы клиентов'!$A$5:$A$104,0)),0))</f>
        <v/>
      </c>
      <c r="L45" s="2" t="str">
        <f t="shared" si="1"/>
        <v/>
      </c>
      <c r="M45" s="2"/>
    </row>
    <row r="46" spans="1:13" ht="4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tr">
        <f>IF(B46="","",IFERROR(INDEX('Проблемы клиентов'!$K$5:$K$104,MATCH(B46,'Проблемы клиентов'!$A$5:$A$104,0)),0))</f>
        <v/>
      </c>
      <c r="L46" s="2" t="str">
        <f t="shared" si="1"/>
        <v/>
      </c>
      <c r="M46" s="2"/>
    </row>
    <row r="47" spans="1:13" ht="4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tr">
        <f>IF(B47="","",IFERROR(INDEX('Проблемы клиентов'!$K$5:$K$104,MATCH(B47,'Проблемы клиентов'!$A$5:$A$104,0)),0))</f>
        <v/>
      </c>
      <c r="L47" s="2" t="str">
        <f t="shared" si="1"/>
        <v/>
      </c>
      <c r="M47" s="2"/>
    </row>
    <row r="48" spans="1:13" ht="4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tr">
        <f>IF(B48="","",IFERROR(INDEX('Проблемы клиентов'!$K$5:$K$104,MATCH(B48,'Проблемы клиентов'!$A$5:$A$104,0)),0))</f>
        <v/>
      </c>
      <c r="L48" s="2" t="str">
        <f t="shared" si="1"/>
        <v/>
      </c>
      <c r="M48" s="2"/>
    </row>
    <row r="49" spans="1:13" ht="4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tr">
        <f>IF(B49="","",IFERROR(INDEX('Проблемы клиентов'!$K$5:$K$104,MATCH(B49,'Проблемы клиентов'!$A$5:$A$104,0)),0))</f>
        <v/>
      </c>
      <c r="L49" s="2" t="str">
        <f t="shared" si="1"/>
        <v/>
      </c>
      <c r="M49" s="2"/>
    </row>
    <row r="50" spans="1:13" ht="4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tr">
        <f>IF(B50="","",IFERROR(INDEX('Проблемы клиентов'!$K$5:$K$104,MATCH(B50,'Проблемы клиентов'!$A$5:$A$104,0)),0))</f>
        <v/>
      </c>
      <c r="L50" s="2" t="str">
        <f t="shared" si="1"/>
        <v/>
      </c>
      <c r="M50" s="2"/>
    </row>
    <row r="51" spans="1:13" ht="4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tr">
        <f>IF(B51="","",IFERROR(INDEX('Проблемы клиентов'!$K$5:$K$104,MATCH(B51,'Проблемы клиентов'!$A$5:$A$104,0)),0))</f>
        <v/>
      </c>
      <c r="L51" s="2" t="str">
        <f t="shared" si="1"/>
        <v/>
      </c>
      <c r="M51" s="2"/>
    </row>
    <row r="52" spans="1:13" ht="4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tr">
        <f>IF(B52="","",IFERROR(INDEX('Проблемы клиентов'!$K$5:$K$104,MATCH(B52,'Проблемы клиентов'!$A$5:$A$104,0)),0))</f>
        <v/>
      </c>
      <c r="L52" s="2" t="str">
        <f t="shared" si="1"/>
        <v/>
      </c>
      <c r="M52" s="2"/>
    </row>
    <row r="53" spans="1:13" ht="4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tr">
        <f>IF(B53="","",IFERROR(INDEX('Проблемы клиентов'!$K$5:$K$104,MATCH(B53,'Проблемы клиентов'!$A$5:$A$104,0)),0))</f>
        <v/>
      </c>
      <c r="L53" s="2" t="str">
        <f t="shared" si="1"/>
        <v/>
      </c>
      <c r="M53" s="2"/>
    </row>
    <row r="54" spans="1:13" ht="4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tr">
        <f>IF(B54="","",IFERROR(INDEX('Проблемы клиентов'!$K$5:$K$104,MATCH(B54,'Проблемы клиентов'!$A$5:$A$104,0)),0))</f>
        <v/>
      </c>
      <c r="L54" s="2" t="str">
        <f t="shared" si="1"/>
        <v/>
      </c>
      <c r="M54" s="2"/>
    </row>
    <row r="55" spans="1:13" ht="4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tr">
        <f>IF(B55="","",IFERROR(INDEX('Проблемы клиентов'!$K$5:$K$104,MATCH(B55,'Проблемы клиентов'!$A$5:$A$104,0)),0))</f>
        <v/>
      </c>
      <c r="L55" s="2" t="str">
        <f t="shared" si="1"/>
        <v/>
      </c>
      <c r="M55" s="2"/>
    </row>
    <row r="56" spans="1:13" ht="4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tr">
        <f>IF(B56="","",IFERROR(INDEX('Проблемы клиентов'!$K$5:$K$104,MATCH(B56,'Проблемы клиентов'!$A$5:$A$104,0)),0))</f>
        <v/>
      </c>
      <c r="L56" s="2" t="str">
        <f t="shared" si="1"/>
        <v/>
      </c>
      <c r="M56" s="2"/>
    </row>
    <row r="57" spans="1:13" ht="4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tr">
        <f>IF(B57="","",IFERROR(INDEX('Проблемы клиентов'!$K$5:$K$104,MATCH(B57,'Проблемы клиентов'!$A$5:$A$104,0)),0))</f>
        <v/>
      </c>
      <c r="L57" s="2" t="str">
        <f t="shared" si="1"/>
        <v/>
      </c>
      <c r="M57" s="2"/>
    </row>
    <row r="58" spans="1:13" ht="4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f>IF(B58="","",IFERROR(INDEX('Проблемы клиентов'!$K$5:$K$104,MATCH(B58,'Проблемы клиентов'!$A$5:$A$104,0)),0))</f>
        <v/>
      </c>
      <c r="L58" s="2" t="str">
        <f t="shared" si="1"/>
        <v/>
      </c>
      <c r="M58" s="2"/>
    </row>
    <row r="59" spans="1:13" ht="4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tr">
        <f>IF(B59="","",IFERROR(INDEX('Проблемы клиентов'!$K$5:$K$104,MATCH(B59,'Проблемы клиентов'!$A$5:$A$104,0)),0))</f>
        <v/>
      </c>
      <c r="L59" s="2" t="str">
        <f t="shared" si="1"/>
        <v/>
      </c>
      <c r="M59" s="2"/>
    </row>
    <row r="60" spans="1:13" ht="4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tr">
        <f>IF(B60="","",IFERROR(INDEX('Проблемы клиентов'!$K$5:$K$104,MATCH(B60,'Проблемы клиентов'!$A$5:$A$104,0)),0))</f>
        <v/>
      </c>
      <c r="L60" s="2" t="str">
        <f t="shared" si="1"/>
        <v/>
      </c>
      <c r="M60" s="2"/>
    </row>
    <row r="61" spans="1:13" ht="4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tr">
        <f>IF(B61="","",IFERROR(INDEX('Проблемы клиентов'!$K$5:$K$104,MATCH(B61,'Проблемы клиентов'!$A$5:$A$104,0)),0))</f>
        <v/>
      </c>
      <c r="L61" s="2" t="str">
        <f t="shared" si="1"/>
        <v/>
      </c>
      <c r="M61" s="2"/>
    </row>
    <row r="62" spans="1:13" ht="4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tr">
        <f>IF(B62="","",IFERROR(INDEX('Проблемы клиентов'!$K$5:$K$104,MATCH(B62,'Проблемы клиентов'!$A$5:$A$104,0)),0))</f>
        <v/>
      </c>
      <c r="L62" s="2" t="str">
        <f t="shared" si="1"/>
        <v/>
      </c>
      <c r="M62" s="2"/>
    </row>
    <row r="63" spans="1:13" ht="4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tr">
        <f>IF(B63="","",IFERROR(INDEX('Проблемы клиентов'!$K$5:$K$104,MATCH(B63,'Проблемы клиентов'!$A$5:$A$104,0)),0))</f>
        <v/>
      </c>
      <c r="L63" s="2" t="str">
        <f t="shared" si="1"/>
        <v/>
      </c>
      <c r="M63" s="2"/>
    </row>
    <row r="64" spans="1:13" ht="4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tr">
        <f>IF(B64="","",IFERROR(INDEX('Проблемы клиентов'!$K$5:$K$104,MATCH(B64,'Проблемы клиентов'!$A$5:$A$104,0)),0))</f>
        <v/>
      </c>
      <c r="L64" s="2" t="str">
        <f t="shared" si="1"/>
        <v/>
      </c>
      <c r="M64" s="2"/>
    </row>
    <row r="65" spans="1:13" ht="4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tr">
        <f>IF(B65="","",IFERROR(INDEX('Проблемы клиентов'!$K$5:$K$104,MATCH(B65,'Проблемы клиентов'!$A$5:$A$104,0)),0))</f>
        <v/>
      </c>
      <c r="L65" s="2" t="str">
        <f t="shared" si="1"/>
        <v/>
      </c>
      <c r="M65" s="2"/>
    </row>
    <row r="66" spans="1:13" ht="4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tr">
        <f>IF(B66="","",IFERROR(INDEX('Проблемы клиентов'!$K$5:$K$104,MATCH(B66,'Проблемы клиентов'!$A$5:$A$104,0)),0))</f>
        <v/>
      </c>
      <c r="L66" s="2" t="str">
        <f t="shared" si="1"/>
        <v/>
      </c>
      <c r="M66" s="2"/>
    </row>
    <row r="67" spans="1:13" ht="4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tr">
        <f>IF(B67="","",IFERROR(INDEX('Проблемы клиентов'!$K$5:$K$104,MATCH(B67,'Проблемы клиентов'!$A$5:$A$104,0)),0))</f>
        <v/>
      </c>
      <c r="L67" s="2" t="str">
        <f t="shared" si="1"/>
        <v/>
      </c>
      <c r="M67" s="2"/>
    </row>
    <row r="68" spans="1:13" ht="4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tr">
        <f>IF(B68="","",IFERROR(INDEX('Проблемы клиентов'!$K$5:$K$104,MATCH(B68,'Проблемы клиентов'!$A$5:$A$104,0)),0))</f>
        <v/>
      </c>
      <c r="L68" s="2" t="str">
        <f t="shared" si="1"/>
        <v/>
      </c>
      <c r="M68" s="2"/>
    </row>
    <row r="69" spans="1:13" ht="4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tr">
        <f>IF(B69="","",IFERROR(INDEX('Проблемы клиентов'!$K$5:$K$104,MATCH(B69,'Проблемы клиентов'!$A$5:$A$104,0)),0))</f>
        <v/>
      </c>
      <c r="L69" s="2" t="str">
        <f t="shared" ref="L69:L104" si="2">IF(A69="","",IF(AND(B69&lt;&gt;"",F69&lt;&gt;"",G69&lt;&gt;"",H69&lt;&gt;"",I69&lt;&gt;"",J69&lt;&gt;""),"Готово","Нужно дополнить"))</f>
        <v/>
      </c>
      <c r="M69" s="2"/>
    </row>
    <row r="70" spans="1:13" ht="4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tr">
        <f>IF(B70="","",IFERROR(INDEX('Проблемы клиентов'!$K$5:$K$104,MATCH(B70,'Проблемы клиентов'!$A$5:$A$104,0)),0))</f>
        <v/>
      </c>
      <c r="L70" s="2" t="str">
        <f t="shared" si="2"/>
        <v/>
      </c>
      <c r="M70" s="2"/>
    </row>
    <row r="71" spans="1:13" ht="4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tr">
        <f>IF(B71="","",IFERROR(INDEX('Проблемы клиентов'!$K$5:$K$104,MATCH(B71,'Проблемы клиентов'!$A$5:$A$104,0)),0))</f>
        <v/>
      </c>
      <c r="L71" s="2" t="str">
        <f t="shared" si="2"/>
        <v/>
      </c>
      <c r="M71" s="2"/>
    </row>
    <row r="72" spans="1:13" ht="4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tr">
        <f>IF(B72="","",IFERROR(INDEX('Проблемы клиентов'!$K$5:$K$104,MATCH(B72,'Проблемы клиентов'!$A$5:$A$104,0)),0))</f>
        <v/>
      </c>
      <c r="L72" s="2" t="str">
        <f t="shared" si="2"/>
        <v/>
      </c>
      <c r="M72" s="2"/>
    </row>
    <row r="73" spans="1:13" ht="4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tr">
        <f>IF(B73="","",IFERROR(INDEX('Проблемы клиентов'!$K$5:$K$104,MATCH(B73,'Проблемы клиентов'!$A$5:$A$104,0)),0))</f>
        <v/>
      </c>
      <c r="L73" s="2" t="str">
        <f t="shared" si="2"/>
        <v/>
      </c>
      <c r="M73" s="2"/>
    </row>
    <row r="74" spans="1:13" ht="4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tr">
        <f>IF(B74="","",IFERROR(INDEX('Проблемы клиентов'!$K$5:$K$104,MATCH(B74,'Проблемы клиентов'!$A$5:$A$104,0)),0))</f>
        <v/>
      </c>
      <c r="L74" s="2" t="str">
        <f t="shared" si="2"/>
        <v/>
      </c>
      <c r="M74" s="2"/>
    </row>
    <row r="75" spans="1:13" ht="4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tr">
        <f>IF(B75="","",IFERROR(INDEX('Проблемы клиентов'!$K$5:$K$104,MATCH(B75,'Проблемы клиентов'!$A$5:$A$104,0)),0))</f>
        <v/>
      </c>
      <c r="L75" s="2" t="str">
        <f t="shared" si="2"/>
        <v/>
      </c>
      <c r="M75" s="2"/>
    </row>
    <row r="76" spans="1:13" ht="4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tr">
        <f>IF(B76="","",IFERROR(INDEX('Проблемы клиентов'!$K$5:$K$104,MATCH(B76,'Проблемы клиентов'!$A$5:$A$104,0)),0))</f>
        <v/>
      </c>
      <c r="L76" s="2" t="str">
        <f t="shared" si="2"/>
        <v/>
      </c>
      <c r="M76" s="2"/>
    </row>
    <row r="77" spans="1:13" ht="4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tr">
        <f>IF(B77="","",IFERROR(INDEX('Проблемы клиентов'!$K$5:$K$104,MATCH(B77,'Проблемы клиентов'!$A$5:$A$104,0)),0))</f>
        <v/>
      </c>
      <c r="L77" s="2" t="str">
        <f t="shared" si="2"/>
        <v/>
      </c>
      <c r="M77" s="2"/>
    </row>
    <row r="78" spans="1:13" ht="4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tr">
        <f>IF(B78="","",IFERROR(INDEX('Проблемы клиентов'!$K$5:$K$104,MATCH(B78,'Проблемы клиентов'!$A$5:$A$104,0)),0))</f>
        <v/>
      </c>
      <c r="L78" s="2" t="str">
        <f t="shared" si="2"/>
        <v/>
      </c>
      <c r="M78" s="2"/>
    </row>
    <row r="79" spans="1:13" ht="4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tr">
        <f>IF(B79="","",IFERROR(INDEX('Проблемы клиентов'!$K$5:$K$104,MATCH(B79,'Проблемы клиентов'!$A$5:$A$104,0)),0))</f>
        <v/>
      </c>
      <c r="L79" s="2" t="str">
        <f t="shared" si="2"/>
        <v/>
      </c>
      <c r="M79" s="2"/>
    </row>
    <row r="80" spans="1:13" ht="4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tr">
        <f>IF(B80="","",IFERROR(INDEX('Проблемы клиентов'!$K$5:$K$104,MATCH(B80,'Проблемы клиентов'!$A$5:$A$104,0)),0))</f>
        <v/>
      </c>
      <c r="L80" s="2" t="str">
        <f t="shared" si="2"/>
        <v/>
      </c>
      <c r="M80" s="2"/>
    </row>
    <row r="81" spans="1:13" ht="4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tr">
        <f>IF(B81="","",IFERROR(INDEX('Проблемы клиентов'!$K$5:$K$104,MATCH(B81,'Проблемы клиентов'!$A$5:$A$104,0)),0))</f>
        <v/>
      </c>
      <c r="L81" s="2" t="str">
        <f t="shared" si="2"/>
        <v/>
      </c>
      <c r="M81" s="2"/>
    </row>
    <row r="82" spans="1:13" ht="4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tr">
        <f>IF(B82="","",IFERROR(INDEX('Проблемы клиентов'!$K$5:$K$104,MATCH(B82,'Проблемы клиентов'!$A$5:$A$104,0)),0))</f>
        <v/>
      </c>
      <c r="L82" s="2" t="str">
        <f t="shared" si="2"/>
        <v/>
      </c>
      <c r="M82" s="2"/>
    </row>
    <row r="83" spans="1:13" ht="4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tr">
        <f>IF(B83="","",IFERROR(INDEX('Проблемы клиентов'!$K$5:$K$104,MATCH(B83,'Проблемы клиентов'!$A$5:$A$104,0)),0))</f>
        <v/>
      </c>
      <c r="L83" s="2" t="str">
        <f t="shared" si="2"/>
        <v/>
      </c>
      <c r="M83" s="2"/>
    </row>
    <row r="84" spans="1:13" ht="4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tr">
        <f>IF(B84="","",IFERROR(INDEX('Проблемы клиентов'!$K$5:$K$104,MATCH(B84,'Проблемы клиентов'!$A$5:$A$104,0)),0))</f>
        <v/>
      </c>
      <c r="L84" s="2" t="str">
        <f t="shared" si="2"/>
        <v/>
      </c>
      <c r="M84" s="2"/>
    </row>
    <row r="85" spans="1:13" ht="4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tr">
        <f>IF(B85="","",IFERROR(INDEX('Проблемы клиентов'!$K$5:$K$104,MATCH(B85,'Проблемы клиентов'!$A$5:$A$104,0)),0))</f>
        <v/>
      </c>
      <c r="L85" s="2" t="str">
        <f t="shared" si="2"/>
        <v/>
      </c>
      <c r="M85" s="2"/>
    </row>
    <row r="86" spans="1:13" ht="4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tr">
        <f>IF(B86="","",IFERROR(INDEX('Проблемы клиентов'!$K$5:$K$104,MATCH(B86,'Проблемы клиентов'!$A$5:$A$104,0)),0))</f>
        <v/>
      </c>
      <c r="L86" s="2" t="str">
        <f t="shared" si="2"/>
        <v/>
      </c>
      <c r="M86" s="2"/>
    </row>
    <row r="87" spans="1:13" ht="4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tr">
        <f>IF(B87="","",IFERROR(INDEX('Проблемы клиентов'!$K$5:$K$104,MATCH(B87,'Проблемы клиентов'!$A$5:$A$104,0)),0))</f>
        <v/>
      </c>
      <c r="L87" s="2" t="str">
        <f t="shared" si="2"/>
        <v/>
      </c>
      <c r="M87" s="2"/>
    </row>
    <row r="88" spans="1:13" ht="4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tr">
        <f>IF(B88="","",IFERROR(INDEX('Проблемы клиентов'!$K$5:$K$104,MATCH(B88,'Проблемы клиентов'!$A$5:$A$104,0)),0))</f>
        <v/>
      </c>
      <c r="L88" s="2" t="str">
        <f t="shared" si="2"/>
        <v/>
      </c>
      <c r="M88" s="2"/>
    </row>
    <row r="89" spans="1:13" ht="4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tr">
        <f>IF(B89="","",IFERROR(INDEX('Проблемы клиентов'!$K$5:$K$104,MATCH(B89,'Проблемы клиентов'!$A$5:$A$104,0)),0))</f>
        <v/>
      </c>
      <c r="L89" s="2" t="str">
        <f t="shared" si="2"/>
        <v/>
      </c>
      <c r="M89" s="2"/>
    </row>
    <row r="90" spans="1:13" ht="4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tr">
        <f>IF(B90="","",IFERROR(INDEX('Проблемы клиентов'!$K$5:$K$104,MATCH(B90,'Проблемы клиентов'!$A$5:$A$104,0)),0))</f>
        <v/>
      </c>
      <c r="L90" s="2" t="str">
        <f t="shared" si="2"/>
        <v/>
      </c>
      <c r="M90" s="2"/>
    </row>
    <row r="91" spans="1:13" ht="4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tr">
        <f>IF(B91="","",IFERROR(INDEX('Проблемы клиентов'!$K$5:$K$104,MATCH(B91,'Проблемы клиентов'!$A$5:$A$104,0)),0))</f>
        <v/>
      </c>
      <c r="L91" s="2" t="str">
        <f t="shared" si="2"/>
        <v/>
      </c>
      <c r="M91" s="2"/>
    </row>
    <row r="92" spans="1:13" ht="4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tr">
        <f>IF(B92="","",IFERROR(INDEX('Проблемы клиентов'!$K$5:$K$104,MATCH(B92,'Проблемы клиентов'!$A$5:$A$104,0)),0))</f>
        <v/>
      </c>
      <c r="L92" s="2" t="str">
        <f t="shared" si="2"/>
        <v/>
      </c>
      <c r="M92" s="2"/>
    </row>
    <row r="93" spans="1:13" ht="4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tr">
        <f>IF(B93="","",IFERROR(INDEX('Проблемы клиентов'!$K$5:$K$104,MATCH(B93,'Проблемы клиентов'!$A$5:$A$104,0)),0))</f>
        <v/>
      </c>
      <c r="L93" s="2" t="str">
        <f t="shared" si="2"/>
        <v/>
      </c>
      <c r="M93" s="2"/>
    </row>
    <row r="94" spans="1:13" ht="4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tr">
        <f>IF(B94="","",IFERROR(INDEX('Проблемы клиентов'!$K$5:$K$104,MATCH(B94,'Проблемы клиентов'!$A$5:$A$104,0)),0))</f>
        <v/>
      </c>
      <c r="L94" s="2" t="str">
        <f t="shared" si="2"/>
        <v/>
      </c>
      <c r="M94" s="2"/>
    </row>
    <row r="95" spans="1:13" ht="4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tr">
        <f>IF(B95="","",IFERROR(INDEX('Проблемы клиентов'!$K$5:$K$104,MATCH(B95,'Проблемы клиентов'!$A$5:$A$104,0)),0))</f>
        <v/>
      </c>
      <c r="L95" s="2" t="str">
        <f t="shared" si="2"/>
        <v/>
      </c>
      <c r="M95" s="2"/>
    </row>
    <row r="96" spans="1:13" ht="4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tr">
        <f>IF(B96="","",IFERROR(INDEX('Проблемы клиентов'!$K$5:$K$104,MATCH(B96,'Проблемы клиентов'!$A$5:$A$104,0)),0))</f>
        <v/>
      </c>
      <c r="L96" s="2" t="str">
        <f t="shared" si="2"/>
        <v/>
      </c>
      <c r="M96" s="2"/>
    </row>
    <row r="97" spans="1:13" ht="4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tr">
        <f>IF(B97="","",IFERROR(INDEX('Проблемы клиентов'!$K$5:$K$104,MATCH(B97,'Проблемы клиентов'!$A$5:$A$104,0)),0))</f>
        <v/>
      </c>
      <c r="L97" s="2" t="str">
        <f t="shared" si="2"/>
        <v/>
      </c>
      <c r="M97" s="2"/>
    </row>
    <row r="98" spans="1:13" ht="4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tr">
        <f>IF(B98="","",IFERROR(INDEX('Проблемы клиентов'!$K$5:$K$104,MATCH(B98,'Проблемы клиентов'!$A$5:$A$104,0)),0))</f>
        <v/>
      </c>
      <c r="L98" s="2" t="str">
        <f t="shared" si="2"/>
        <v/>
      </c>
      <c r="M98" s="2"/>
    </row>
    <row r="99" spans="1:13" ht="4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tr">
        <f>IF(B99="","",IFERROR(INDEX('Проблемы клиентов'!$K$5:$K$104,MATCH(B99,'Проблемы клиентов'!$A$5:$A$104,0)),0))</f>
        <v/>
      </c>
      <c r="L99" s="2" t="str">
        <f t="shared" si="2"/>
        <v/>
      </c>
      <c r="M99" s="2"/>
    </row>
    <row r="100" spans="1:13" ht="4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tr">
        <f>IF(B100="","",IFERROR(INDEX('Проблемы клиентов'!$K$5:$K$104,MATCH(B100,'Проблемы клиентов'!$A$5:$A$104,0)),0))</f>
        <v/>
      </c>
      <c r="L100" s="2" t="str">
        <f t="shared" si="2"/>
        <v/>
      </c>
      <c r="M100" s="2"/>
    </row>
    <row r="101" spans="1:13" ht="4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tr">
        <f>IF(B101="","",IFERROR(INDEX('Проблемы клиентов'!$K$5:$K$104,MATCH(B101,'Проблемы клиентов'!$A$5:$A$104,0)),0))</f>
        <v/>
      </c>
      <c r="L101" s="2" t="str">
        <f t="shared" si="2"/>
        <v/>
      </c>
      <c r="M101" s="2"/>
    </row>
    <row r="102" spans="1:13" ht="4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tr">
        <f>IF(B102="","",IFERROR(INDEX('Проблемы клиентов'!$K$5:$K$104,MATCH(B102,'Проблемы клиентов'!$A$5:$A$104,0)),0))</f>
        <v/>
      </c>
      <c r="L102" s="2" t="str">
        <f t="shared" si="2"/>
        <v/>
      </c>
      <c r="M102" s="2"/>
    </row>
    <row r="103" spans="1:13" ht="4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tr">
        <f>IF(B103="","",IFERROR(INDEX('Проблемы клиентов'!$K$5:$K$104,MATCH(B103,'Проблемы клиентов'!$A$5:$A$104,0)),0))</f>
        <v/>
      </c>
      <c r="L103" s="2" t="str">
        <f t="shared" si="2"/>
        <v/>
      </c>
      <c r="M103" s="2"/>
    </row>
    <row r="104" spans="1:13" ht="4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>IF(B104="","",IFERROR(INDEX('Проблемы клиентов'!$K$5:$K$104,MATCH(B104,'Проблемы клиентов'!$A$5:$A$104,0)),0))</f>
        <v/>
      </c>
      <c r="L104" s="2" t="str">
        <f t="shared" si="2"/>
        <v/>
      </c>
      <c r="M104" s="2"/>
    </row>
  </sheetData>
  <mergeCells count="2">
    <mergeCell ref="A1:M1"/>
    <mergeCell ref="A2:M2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Справочники!$B$4:$B$8</xm:f>
          </x14:formula1>
          <xm:sqref>C5:C104</xm:sqref>
        </x14:dataValidation>
        <x14:dataValidation type="list" xr:uid="{00000000-0002-0000-0500-000001000000}">
          <x14:formula1>
            <xm:f>Справочники!$E$4:$E$9</xm:f>
          </x14:formula1>
          <xm:sqref>I5:I104</xm:sqref>
        </x14:dataValidation>
        <x14:dataValidation type="list" xr:uid="{00000000-0002-0000-0500-000002000000}">
          <x14:formula1>
            <xm:f>Справочники!$D$4:$D$12</xm:f>
          </x14:formula1>
          <xm:sqref>J5:J104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4"/>
  <sheetViews>
    <sheetView workbookViewId="0"/>
  </sheetViews>
  <sheetFormatPr defaultRowHeight="14.25"/>
  <cols>
    <col min="1" max="2" width="12" customWidth="1"/>
    <col min="3" max="3" width="30" customWidth="1"/>
    <col min="4" max="4" width="24" customWidth="1"/>
    <col min="5" max="5" width="40" customWidth="1"/>
    <col min="6" max="6" width="38" customWidth="1"/>
    <col min="7" max="8" width="42" customWidth="1"/>
    <col min="9" max="9" width="38" customWidth="1"/>
    <col min="10" max="10" width="17" customWidth="1"/>
    <col min="11" max="11" width="20" customWidth="1"/>
    <col min="12" max="12" width="18" customWidth="1"/>
    <col min="13" max="13" width="28" customWidth="1"/>
  </cols>
  <sheetData>
    <row r="1" spans="1:13" ht="27.95" customHeight="1">
      <c r="A1" s="17" t="s">
        <v>172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3.950000000000003" customHeight="1">
      <c r="A2" s="19" t="s">
        <v>173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33.950000000000003" customHeight="1">
      <c r="A4" s="1" t="s">
        <v>174</v>
      </c>
      <c r="B4" s="1" t="s">
        <v>163</v>
      </c>
      <c r="C4" s="1" t="s">
        <v>175</v>
      </c>
      <c r="D4" s="1" t="s">
        <v>176</v>
      </c>
      <c r="E4" s="1" t="s">
        <v>177</v>
      </c>
      <c r="F4" s="1" t="s">
        <v>178</v>
      </c>
      <c r="G4" s="1" t="s">
        <v>179</v>
      </c>
      <c r="H4" s="1" t="s">
        <v>180</v>
      </c>
      <c r="I4" s="1" t="s">
        <v>181</v>
      </c>
      <c r="J4" s="1" t="s">
        <v>182</v>
      </c>
      <c r="K4" s="1" t="s">
        <v>183</v>
      </c>
      <c r="L4" s="1" t="s">
        <v>10</v>
      </c>
      <c r="M4" s="1" t="s">
        <v>130</v>
      </c>
    </row>
    <row r="5" spans="1:13" ht="42" customHeight="1">
      <c r="A5" s="2" t="s">
        <v>184</v>
      </c>
      <c r="B5" s="2" t="s">
        <v>171</v>
      </c>
      <c r="C5" s="2" t="s">
        <v>399</v>
      </c>
      <c r="D5" s="2" t="s">
        <v>19</v>
      </c>
      <c r="E5" s="2" t="s">
        <v>400</v>
      </c>
      <c r="F5" s="2" t="s">
        <v>401</v>
      </c>
      <c r="G5" s="2" t="s">
        <v>402</v>
      </c>
      <c r="H5" s="2" t="s">
        <v>403</v>
      </c>
      <c r="I5" s="2" t="s">
        <v>404</v>
      </c>
      <c r="J5" s="2" t="str">
        <f t="shared" ref="J5:J36" si="0">IF(A5="","",IF(AND(E5&lt;&gt;"",F5&lt;&gt;"",H5&lt;&gt;"",I5&lt;&gt;""),"Да","Нет"))</f>
        <v>Да</v>
      </c>
      <c r="K5" s="2">
        <f t="shared" ref="K5:K36" si="1">IF(A5="","",ROUND((COUNTA(E5:I5)/5)*100,0))</f>
        <v>100</v>
      </c>
      <c r="L5" s="2" t="str">
        <f t="shared" ref="L5:L36" si="2">IF(A5="","",IF(K5&gt;=80,"Готово",IF(K5&gt;=50,"Нужно дополнить","Черновик")))</f>
        <v>Готово</v>
      </c>
      <c r="M5" s="2" t="s">
        <v>405</v>
      </c>
    </row>
    <row r="6" spans="1:13" ht="42" customHeight="1">
      <c r="A6" s="2" t="s">
        <v>406</v>
      </c>
      <c r="B6" s="2" t="s">
        <v>385</v>
      </c>
      <c r="C6" s="2" t="s">
        <v>407</v>
      </c>
      <c r="D6" s="2" t="s">
        <v>19</v>
      </c>
      <c r="E6" s="2" t="s">
        <v>408</v>
      </c>
      <c r="F6" s="2" t="s">
        <v>409</v>
      </c>
      <c r="G6" s="2" t="s">
        <v>410</v>
      </c>
      <c r="H6" s="2" t="s">
        <v>411</v>
      </c>
      <c r="I6" s="2" t="s">
        <v>412</v>
      </c>
      <c r="J6" s="2" t="str">
        <f t="shared" si="0"/>
        <v>Да</v>
      </c>
      <c r="K6" s="2">
        <f t="shared" si="1"/>
        <v>100</v>
      </c>
      <c r="L6" s="2" t="str">
        <f t="shared" si="2"/>
        <v>Готово</v>
      </c>
      <c r="M6" s="2" t="s">
        <v>413</v>
      </c>
    </row>
    <row r="7" spans="1:13" ht="42" customHeight="1">
      <c r="A7" s="2" t="s">
        <v>414</v>
      </c>
      <c r="B7" s="2" t="s">
        <v>392</v>
      </c>
      <c r="C7" s="2" t="s">
        <v>415</v>
      </c>
      <c r="D7" s="2" t="s">
        <v>54</v>
      </c>
      <c r="E7" s="2" t="s">
        <v>416</v>
      </c>
      <c r="F7" s="2" t="s">
        <v>417</v>
      </c>
      <c r="G7" s="2" t="s">
        <v>418</v>
      </c>
      <c r="H7" s="2" t="s">
        <v>419</v>
      </c>
      <c r="I7" s="2" t="s">
        <v>420</v>
      </c>
      <c r="J7" s="2" t="str">
        <f t="shared" si="0"/>
        <v>Да</v>
      </c>
      <c r="K7" s="2">
        <f t="shared" si="1"/>
        <v>100</v>
      </c>
      <c r="L7" s="2" t="str">
        <f t="shared" si="2"/>
        <v>Готово</v>
      </c>
      <c r="M7" s="2" t="s">
        <v>421</v>
      </c>
    </row>
    <row r="8" spans="1:13" ht="42" customHeight="1">
      <c r="A8" s="2"/>
      <c r="B8" s="2"/>
      <c r="C8" s="2"/>
      <c r="D8" s="2"/>
      <c r="E8" s="2"/>
      <c r="F8" s="2"/>
      <c r="G8" s="2"/>
      <c r="H8" s="2"/>
      <c r="I8" s="2"/>
      <c r="J8" s="2" t="str">
        <f t="shared" si="0"/>
        <v/>
      </c>
      <c r="K8" s="2" t="str">
        <f t="shared" si="1"/>
        <v/>
      </c>
      <c r="L8" s="2" t="str">
        <f t="shared" si="2"/>
        <v/>
      </c>
      <c r="M8" s="2"/>
    </row>
    <row r="9" spans="1:13" ht="42" customHeight="1">
      <c r="A9" s="2"/>
      <c r="B9" s="2"/>
      <c r="C9" s="2"/>
      <c r="D9" s="2"/>
      <c r="E9" s="2"/>
      <c r="F9" s="2"/>
      <c r="G9" s="2"/>
      <c r="H9" s="2"/>
      <c r="I9" s="2"/>
      <c r="J9" s="2" t="str">
        <f t="shared" si="0"/>
        <v/>
      </c>
      <c r="K9" s="2" t="str">
        <f t="shared" si="1"/>
        <v/>
      </c>
      <c r="L9" s="2" t="str">
        <f t="shared" si="2"/>
        <v/>
      </c>
      <c r="M9" s="2"/>
    </row>
    <row r="10" spans="1:13" ht="42" customHeight="1">
      <c r="A10" s="2"/>
      <c r="B10" s="2"/>
      <c r="C10" s="2"/>
      <c r="D10" s="2"/>
      <c r="E10" s="2"/>
      <c r="F10" s="2"/>
      <c r="G10" s="2"/>
      <c r="H10" s="2"/>
      <c r="I10" s="2"/>
      <c r="J10" s="2" t="str">
        <f t="shared" si="0"/>
        <v/>
      </c>
      <c r="K10" s="2" t="str">
        <f t="shared" si="1"/>
        <v/>
      </c>
      <c r="L10" s="2" t="str">
        <f t="shared" si="2"/>
        <v/>
      </c>
      <c r="M10" s="2"/>
    </row>
    <row r="11" spans="1:13" ht="42" customHeight="1">
      <c r="A11" s="2"/>
      <c r="B11" s="2"/>
      <c r="C11" s="2"/>
      <c r="D11" s="2"/>
      <c r="E11" s="2"/>
      <c r="F11" s="2"/>
      <c r="G11" s="2"/>
      <c r="H11" s="2"/>
      <c r="I11" s="2"/>
      <c r="J11" s="2" t="str">
        <f t="shared" si="0"/>
        <v/>
      </c>
      <c r="K11" s="2" t="str">
        <f t="shared" si="1"/>
        <v/>
      </c>
      <c r="L11" s="2" t="str">
        <f t="shared" si="2"/>
        <v/>
      </c>
      <c r="M11" s="2"/>
    </row>
    <row r="12" spans="1:13" ht="42" customHeight="1">
      <c r="A12" s="2"/>
      <c r="B12" s="2"/>
      <c r="C12" s="2"/>
      <c r="D12" s="2"/>
      <c r="E12" s="2"/>
      <c r="F12" s="2"/>
      <c r="G12" s="2"/>
      <c r="H12" s="2"/>
      <c r="I12" s="2"/>
      <c r="J12" s="2" t="str">
        <f t="shared" si="0"/>
        <v/>
      </c>
      <c r="K12" s="2" t="str">
        <f t="shared" si="1"/>
        <v/>
      </c>
      <c r="L12" s="2" t="str">
        <f t="shared" si="2"/>
        <v/>
      </c>
      <c r="M12" s="2"/>
    </row>
    <row r="13" spans="1:13" ht="42" customHeight="1">
      <c r="A13" s="2"/>
      <c r="B13" s="2"/>
      <c r="C13" s="2"/>
      <c r="D13" s="2"/>
      <c r="E13" s="2"/>
      <c r="F13" s="2"/>
      <c r="G13" s="2"/>
      <c r="H13" s="2"/>
      <c r="I13" s="2"/>
      <c r="J13" s="2" t="str">
        <f t="shared" si="0"/>
        <v/>
      </c>
      <c r="K13" s="2" t="str">
        <f t="shared" si="1"/>
        <v/>
      </c>
      <c r="L13" s="2" t="str">
        <f t="shared" si="2"/>
        <v/>
      </c>
      <c r="M13" s="2"/>
    </row>
    <row r="14" spans="1:13" ht="42" customHeight="1">
      <c r="A14" s="2"/>
      <c r="B14" s="2"/>
      <c r="C14" s="2"/>
      <c r="D14" s="2"/>
      <c r="E14" s="2"/>
      <c r="F14" s="2"/>
      <c r="G14" s="2"/>
      <c r="H14" s="2"/>
      <c r="I14" s="2"/>
      <c r="J14" s="2" t="str">
        <f t="shared" si="0"/>
        <v/>
      </c>
      <c r="K14" s="2" t="str">
        <f t="shared" si="1"/>
        <v/>
      </c>
      <c r="L14" s="2" t="str">
        <f t="shared" si="2"/>
        <v/>
      </c>
      <c r="M14" s="2"/>
    </row>
    <row r="15" spans="1:13" ht="42" customHeight="1">
      <c r="A15" s="2"/>
      <c r="B15" s="2"/>
      <c r="C15" s="2"/>
      <c r="D15" s="2"/>
      <c r="E15" s="2"/>
      <c r="F15" s="2"/>
      <c r="G15" s="2"/>
      <c r="H15" s="2"/>
      <c r="I15" s="2"/>
      <c r="J15" s="2" t="str">
        <f t="shared" si="0"/>
        <v/>
      </c>
      <c r="K15" s="2" t="str">
        <f t="shared" si="1"/>
        <v/>
      </c>
      <c r="L15" s="2" t="str">
        <f t="shared" si="2"/>
        <v/>
      </c>
      <c r="M15" s="2"/>
    </row>
    <row r="16" spans="1:13" ht="42" customHeight="1">
      <c r="A16" s="2"/>
      <c r="B16" s="2"/>
      <c r="C16" s="2"/>
      <c r="D16" s="2"/>
      <c r="E16" s="2"/>
      <c r="F16" s="2"/>
      <c r="G16" s="2"/>
      <c r="H16" s="2"/>
      <c r="I16" s="2"/>
      <c r="J16" s="2" t="str">
        <f t="shared" si="0"/>
        <v/>
      </c>
      <c r="K16" s="2" t="str">
        <f t="shared" si="1"/>
        <v/>
      </c>
      <c r="L16" s="2" t="str">
        <f t="shared" si="2"/>
        <v/>
      </c>
      <c r="M16" s="2"/>
    </row>
    <row r="17" spans="1:13" ht="42" customHeight="1">
      <c r="A17" s="2"/>
      <c r="B17" s="2"/>
      <c r="C17" s="2"/>
      <c r="D17" s="2"/>
      <c r="E17" s="2"/>
      <c r="F17" s="2"/>
      <c r="G17" s="2"/>
      <c r="H17" s="2"/>
      <c r="I17" s="2"/>
      <c r="J17" s="2" t="str">
        <f t="shared" si="0"/>
        <v/>
      </c>
      <c r="K17" s="2" t="str">
        <f t="shared" si="1"/>
        <v/>
      </c>
      <c r="L17" s="2" t="str">
        <f t="shared" si="2"/>
        <v/>
      </c>
      <c r="M17" s="2"/>
    </row>
    <row r="18" spans="1:13" ht="42" customHeight="1">
      <c r="A18" s="2"/>
      <c r="B18" s="2"/>
      <c r="C18" s="2"/>
      <c r="D18" s="2"/>
      <c r="E18" s="2"/>
      <c r="F18" s="2"/>
      <c r="G18" s="2"/>
      <c r="H18" s="2"/>
      <c r="I18" s="2"/>
      <c r="J18" s="2" t="str">
        <f t="shared" si="0"/>
        <v/>
      </c>
      <c r="K18" s="2" t="str">
        <f t="shared" si="1"/>
        <v/>
      </c>
      <c r="L18" s="2" t="str">
        <f t="shared" si="2"/>
        <v/>
      </c>
      <c r="M18" s="2"/>
    </row>
    <row r="19" spans="1:13" ht="42" customHeight="1">
      <c r="A19" s="2"/>
      <c r="B19" s="2"/>
      <c r="C19" s="2"/>
      <c r="D19" s="2"/>
      <c r="E19" s="2"/>
      <c r="F19" s="2"/>
      <c r="G19" s="2"/>
      <c r="H19" s="2"/>
      <c r="I19" s="2"/>
      <c r="J19" s="2" t="str">
        <f t="shared" si="0"/>
        <v/>
      </c>
      <c r="K19" s="2" t="str">
        <f t="shared" si="1"/>
        <v/>
      </c>
      <c r="L19" s="2" t="str">
        <f t="shared" si="2"/>
        <v/>
      </c>
      <c r="M19" s="2"/>
    </row>
    <row r="20" spans="1:13" ht="42" customHeight="1">
      <c r="A20" s="2"/>
      <c r="B20" s="2"/>
      <c r="C20" s="2"/>
      <c r="D20" s="2"/>
      <c r="E20" s="2"/>
      <c r="F20" s="2"/>
      <c r="G20" s="2"/>
      <c r="H20" s="2"/>
      <c r="I20" s="2"/>
      <c r="J20" s="2" t="str">
        <f t="shared" si="0"/>
        <v/>
      </c>
      <c r="K20" s="2" t="str">
        <f t="shared" si="1"/>
        <v/>
      </c>
      <c r="L20" s="2" t="str">
        <f t="shared" si="2"/>
        <v/>
      </c>
      <c r="M20" s="2"/>
    </row>
    <row r="21" spans="1:13" ht="42" customHeight="1">
      <c r="A21" s="2"/>
      <c r="B21" s="2"/>
      <c r="C21" s="2"/>
      <c r="D21" s="2"/>
      <c r="E21" s="2"/>
      <c r="F21" s="2"/>
      <c r="G21" s="2"/>
      <c r="H21" s="2"/>
      <c r="I21" s="2"/>
      <c r="J21" s="2" t="str">
        <f t="shared" si="0"/>
        <v/>
      </c>
      <c r="K21" s="2" t="str">
        <f t="shared" si="1"/>
        <v/>
      </c>
      <c r="L21" s="2" t="str">
        <f t="shared" si="2"/>
        <v/>
      </c>
      <c r="M21" s="2"/>
    </row>
    <row r="22" spans="1:13" ht="42" customHeight="1">
      <c r="A22" s="2"/>
      <c r="B22" s="2"/>
      <c r="C22" s="2"/>
      <c r="D22" s="2"/>
      <c r="E22" s="2"/>
      <c r="F22" s="2"/>
      <c r="G22" s="2"/>
      <c r="H22" s="2"/>
      <c r="I22" s="2"/>
      <c r="J22" s="2" t="str">
        <f t="shared" si="0"/>
        <v/>
      </c>
      <c r="K22" s="2" t="str">
        <f t="shared" si="1"/>
        <v/>
      </c>
      <c r="L22" s="2" t="str">
        <f t="shared" si="2"/>
        <v/>
      </c>
      <c r="M22" s="2"/>
    </row>
    <row r="23" spans="1:13" ht="42" customHeight="1">
      <c r="A23" s="2"/>
      <c r="B23" s="2"/>
      <c r="C23" s="2"/>
      <c r="D23" s="2"/>
      <c r="E23" s="2"/>
      <c r="F23" s="2"/>
      <c r="G23" s="2"/>
      <c r="H23" s="2"/>
      <c r="I23" s="2"/>
      <c r="J23" s="2" t="str">
        <f t="shared" si="0"/>
        <v/>
      </c>
      <c r="K23" s="2" t="str">
        <f t="shared" si="1"/>
        <v/>
      </c>
      <c r="L23" s="2" t="str">
        <f t="shared" si="2"/>
        <v/>
      </c>
      <c r="M23" s="2"/>
    </row>
    <row r="24" spans="1:13" ht="42" customHeight="1">
      <c r="A24" s="2"/>
      <c r="B24" s="2"/>
      <c r="C24" s="2"/>
      <c r="D24" s="2"/>
      <c r="E24" s="2"/>
      <c r="F24" s="2"/>
      <c r="G24" s="2"/>
      <c r="H24" s="2"/>
      <c r="I24" s="2"/>
      <c r="J24" s="2" t="str">
        <f t="shared" si="0"/>
        <v/>
      </c>
      <c r="K24" s="2" t="str">
        <f t="shared" si="1"/>
        <v/>
      </c>
      <c r="L24" s="2" t="str">
        <f t="shared" si="2"/>
        <v/>
      </c>
      <c r="M24" s="2"/>
    </row>
    <row r="25" spans="1:13" ht="42" customHeight="1">
      <c r="A25" s="2"/>
      <c r="B25" s="2"/>
      <c r="C25" s="2"/>
      <c r="D25" s="2"/>
      <c r="E25" s="2"/>
      <c r="F25" s="2"/>
      <c r="G25" s="2"/>
      <c r="H25" s="2"/>
      <c r="I25" s="2"/>
      <c r="J25" s="2" t="str">
        <f t="shared" si="0"/>
        <v/>
      </c>
      <c r="K25" s="2" t="str">
        <f t="shared" si="1"/>
        <v/>
      </c>
      <c r="L25" s="2" t="str">
        <f t="shared" si="2"/>
        <v/>
      </c>
      <c r="M25" s="2"/>
    </row>
    <row r="26" spans="1:13" ht="42" customHeight="1">
      <c r="A26" s="2"/>
      <c r="B26" s="2"/>
      <c r="C26" s="2"/>
      <c r="D26" s="2"/>
      <c r="E26" s="2"/>
      <c r="F26" s="2"/>
      <c r="G26" s="2"/>
      <c r="H26" s="2"/>
      <c r="I26" s="2"/>
      <c r="J26" s="2" t="str">
        <f t="shared" si="0"/>
        <v/>
      </c>
      <c r="K26" s="2" t="str">
        <f t="shared" si="1"/>
        <v/>
      </c>
      <c r="L26" s="2" t="str">
        <f t="shared" si="2"/>
        <v/>
      </c>
      <c r="M26" s="2"/>
    </row>
    <row r="27" spans="1:13" ht="42" customHeight="1">
      <c r="A27" s="2"/>
      <c r="B27" s="2"/>
      <c r="C27" s="2"/>
      <c r="D27" s="2"/>
      <c r="E27" s="2"/>
      <c r="F27" s="2"/>
      <c r="G27" s="2"/>
      <c r="H27" s="2"/>
      <c r="I27" s="2"/>
      <c r="J27" s="2" t="str">
        <f t="shared" si="0"/>
        <v/>
      </c>
      <c r="K27" s="2" t="str">
        <f t="shared" si="1"/>
        <v/>
      </c>
      <c r="L27" s="2" t="str">
        <f t="shared" si="2"/>
        <v/>
      </c>
      <c r="M27" s="2"/>
    </row>
    <row r="28" spans="1:13" ht="42" customHeight="1">
      <c r="A28" s="2"/>
      <c r="B28" s="2"/>
      <c r="C28" s="2"/>
      <c r="D28" s="2"/>
      <c r="E28" s="2"/>
      <c r="F28" s="2"/>
      <c r="G28" s="2"/>
      <c r="H28" s="2"/>
      <c r="I28" s="2"/>
      <c r="J28" s="2" t="str">
        <f t="shared" si="0"/>
        <v/>
      </c>
      <c r="K28" s="2" t="str">
        <f t="shared" si="1"/>
        <v/>
      </c>
      <c r="L28" s="2" t="str">
        <f t="shared" si="2"/>
        <v/>
      </c>
      <c r="M28" s="2"/>
    </row>
    <row r="29" spans="1:13" ht="42" customHeight="1">
      <c r="A29" s="2"/>
      <c r="B29" s="2"/>
      <c r="C29" s="2"/>
      <c r="D29" s="2"/>
      <c r="E29" s="2"/>
      <c r="F29" s="2"/>
      <c r="G29" s="2"/>
      <c r="H29" s="2"/>
      <c r="I29" s="2"/>
      <c r="J29" s="2" t="str">
        <f t="shared" si="0"/>
        <v/>
      </c>
      <c r="K29" s="2" t="str">
        <f t="shared" si="1"/>
        <v/>
      </c>
      <c r="L29" s="2" t="str">
        <f t="shared" si="2"/>
        <v/>
      </c>
      <c r="M29" s="2"/>
    </row>
    <row r="30" spans="1:13" ht="42" customHeight="1">
      <c r="A30" s="2"/>
      <c r="B30" s="2"/>
      <c r="C30" s="2"/>
      <c r="D30" s="2"/>
      <c r="E30" s="2"/>
      <c r="F30" s="2"/>
      <c r="G30" s="2"/>
      <c r="H30" s="2"/>
      <c r="I30" s="2"/>
      <c r="J30" s="2" t="str">
        <f t="shared" si="0"/>
        <v/>
      </c>
      <c r="K30" s="2" t="str">
        <f t="shared" si="1"/>
        <v/>
      </c>
      <c r="L30" s="2" t="str">
        <f t="shared" si="2"/>
        <v/>
      </c>
      <c r="M30" s="2"/>
    </row>
    <row r="31" spans="1:13" ht="42" customHeight="1">
      <c r="A31" s="2"/>
      <c r="B31" s="2"/>
      <c r="C31" s="2"/>
      <c r="D31" s="2"/>
      <c r="E31" s="2"/>
      <c r="F31" s="2"/>
      <c r="G31" s="2"/>
      <c r="H31" s="2"/>
      <c r="I31" s="2"/>
      <c r="J31" s="2" t="str">
        <f t="shared" si="0"/>
        <v/>
      </c>
      <c r="K31" s="2" t="str">
        <f t="shared" si="1"/>
        <v/>
      </c>
      <c r="L31" s="2" t="str">
        <f t="shared" si="2"/>
        <v/>
      </c>
      <c r="M31" s="2"/>
    </row>
    <row r="32" spans="1:13" ht="42" customHeight="1">
      <c r="A32" s="2"/>
      <c r="B32" s="2"/>
      <c r="C32" s="2"/>
      <c r="D32" s="2"/>
      <c r="E32" s="2"/>
      <c r="F32" s="2"/>
      <c r="G32" s="2"/>
      <c r="H32" s="2"/>
      <c r="I32" s="2"/>
      <c r="J32" s="2" t="str">
        <f t="shared" si="0"/>
        <v/>
      </c>
      <c r="K32" s="2" t="str">
        <f t="shared" si="1"/>
        <v/>
      </c>
      <c r="L32" s="2" t="str">
        <f t="shared" si="2"/>
        <v/>
      </c>
      <c r="M32" s="2"/>
    </row>
    <row r="33" spans="1:13" ht="42" customHeight="1">
      <c r="A33" s="2"/>
      <c r="B33" s="2"/>
      <c r="C33" s="2"/>
      <c r="D33" s="2"/>
      <c r="E33" s="2"/>
      <c r="F33" s="2"/>
      <c r="G33" s="2"/>
      <c r="H33" s="2"/>
      <c r="I33" s="2"/>
      <c r="J33" s="2" t="str">
        <f t="shared" si="0"/>
        <v/>
      </c>
      <c r="K33" s="2" t="str">
        <f t="shared" si="1"/>
        <v/>
      </c>
      <c r="L33" s="2" t="str">
        <f t="shared" si="2"/>
        <v/>
      </c>
      <c r="M33" s="2"/>
    </row>
    <row r="34" spans="1:13" ht="42" customHeight="1">
      <c r="A34" s="2"/>
      <c r="B34" s="2"/>
      <c r="C34" s="2"/>
      <c r="D34" s="2"/>
      <c r="E34" s="2"/>
      <c r="F34" s="2"/>
      <c r="G34" s="2"/>
      <c r="H34" s="2"/>
      <c r="I34" s="2"/>
      <c r="J34" s="2" t="str">
        <f t="shared" si="0"/>
        <v/>
      </c>
      <c r="K34" s="2" t="str">
        <f t="shared" si="1"/>
        <v/>
      </c>
      <c r="L34" s="2" t="str">
        <f t="shared" si="2"/>
        <v/>
      </c>
      <c r="M34" s="2"/>
    </row>
    <row r="35" spans="1:13" ht="42" customHeight="1">
      <c r="A35" s="2"/>
      <c r="B35" s="2"/>
      <c r="C35" s="2"/>
      <c r="D35" s="2"/>
      <c r="E35" s="2"/>
      <c r="F35" s="2"/>
      <c r="G35" s="2"/>
      <c r="H35" s="2"/>
      <c r="I35" s="2"/>
      <c r="J35" s="2" t="str">
        <f t="shared" si="0"/>
        <v/>
      </c>
      <c r="K35" s="2" t="str">
        <f t="shared" si="1"/>
        <v/>
      </c>
      <c r="L35" s="2" t="str">
        <f t="shared" si="2"/>
        <v/>
      </c>
      <c r="M35" s="2"/>
    </row>
    <row r="36" spans="1:13" ht="42" customHeight="1">
      <c r="A36" s="2"/>
      <c r="B36" s="2"/>
      <c r="C36" s="2"/>
      <c r="D36" s="2"/>
      <c r="E36" s="2"/>
      <c r="F36" s="2"/>
      <c r="G36" s="2"/>
      <c r="H36" s="2"/>
      <c r="I36" s="2"/>
      <c r="J36" s="2" t="str">
        <f t="shared" si="0"/>
        <v/>
      </c>
      <c r="K36" s="2" t="str">
        <f t="shared" si="1"/>
        <v/>
      </c>
      <c r="L36" s="2" t="str">
        <f t="shared" si="2"/>
        <v/>
      </c>
      <c r="M36" s="2"/>
    </row>
    <row r="37" spans="1:13" ht="42" customHeight="1">
      <c r="A37" s="2"/>
      <c r="B37" s="2"/>
      <c r="C37" s="2"/>
      <c r="D37" s="2"/>
      <c r="E37" s="2"/>
      <c r="F37" s="2"/>
      <c r="G37" s="2"/>
      <c r="H37" s="2"/>
      <c r="I37" s="2"/>
      <c r="J37" s="2" t="str">
        <f t="shared" ref="J37:J68" si="3">IF(A37="","",IF(AND(E37&lt;&gt;"",F37&lt;&gt;"",H37&lt;&gt;"",I37&lt;&gt;""),"Да","Нет"))</f>
        <v/>
      </c>
      <c r="K37" s="2" t="str">
        <f t="shared" ref="K37:K68" si="4">IF(A37="","",ROUND((COUNTA(E37:I37)/5)*100,0))</f>
        <v/>
      </c>
      <c r="L37" s="2" t="str">
        <f t="shared" ref="L37:L68" si="5">IF(A37="","",IF(K37&gt;=80,"Готово",IF(K37&gt;=50,"Нужно дополнить","Черновик")))</f>
        <v/>
      </c>
      <c r="M37" s="2"/>
    </row>
    <row r="38" spans="1:13" ht="42" customHeight="1">
      <c r="A38" s="2"/>
      <c r="B38" s="2"/>
      <c r="C38" s="2"/>
      <c r="D38" s="2"/>
      <c r="E38" s="2"/>
      <c r="F38" s="2"/>
      <c r="G38" s="2"/>
      <c r="H38" s="2"/>
      <c r="I38" s="2"/>
      <c r="J38" s="2" t="str">
        <f t="shared" si="3"/>
        <v/>
      </c>
      <c r="K38" s="2" t="str">
        <f t="shared" si="4"/>
        <v/>
      </c>
      <c r="L38" s="2" t="str">
        <f t="shared" si="5"/>
        <v/>
      </c>
      <c r="M38" s="2"/>
    </row>
    <row r="39" spans="1:13" ht="42" customHeight="1">
      <c r="A39" s="2"/>
      <c r="B39" s="2"/>
      <c r="C39" s="2"/>
      <c r="D39" s="2"/>
      <c r="E39" s="2"/>
      <c r="F39" s="2"/>
      <c r="G39" s="2"/>
      <c r="H39" s="2"/>
      <c r="I39" s="2"/>
      <c r="J39" s="2" t="str">
        <f t="shared" si="3"/>
        <v/>
      </c>
      <c r="K39" s="2" t="str">
        <f t="shared" si="4"/>
        <v/>
      </c>
      <c r="L39" s="2" t="str">
        <f t="shared" si="5"/>
        <v/>
      </c>
      <c r="M39" s="2"/>
    </row>
    <row r="40" spans="1:13" ht="42" customHeight="1">
      <c r="A40" s="2"/>
      <c r="B40" s="2"/>
      <c r="C40" s="2"/>
      <c r="D40" s="2"/>
      <c r="E40" s="2"/>
      <c r="F40" s="2"/>
      <c r="G40" s="2"/>
      <c r="H40" s="2"/>
      <c r="I40" s="2"/>
      <c r="J40" s="2" t="str">
        <f t="shared" si="3"/>
        <v/>
      </c>
      <c r="K40" s="2" t="str">
        <f t="shared" si="4"/>
        <v/>
      </c>
      <c r="L40" s="2" t="str">
        <f t="shared" si="5"/>
        <v/>
      </c>
      <c r="M40" s="2"/>
    </row>
    <row r="41" spans="1:13" ht="42" customHeight="1">
      <c r="A41" s="2"/>
      <c r="B41" s="2"/>
      <c r="C41" s="2"/>
      <c r="D41" s="2"/>
      <c r="E41" s="2"/>
      <c r="F41" s="2"/>
      <c r="G41" s="2"/>
      <c r="H41" s="2"/>
      <c r="I41" s="2"/>
      <c r="J41" s="2" t="str">
        <f t="shared" si="3"/>
        <v/>
      </c>
      <c r="K41" s="2" t="str">
        <f t="shared" si="4"/>
        <v/>
      </c>
      <c r="L41" s="2" t="str">
        <f t="shared" si="5"/>
        <v/>
      </c>
      <c r="M41" s="2"/>
    </row>
    <row r="42" spans="1:13" ht="42" customHeight="1">
      <c r="A42" s="2"/>
      <c r="B42" s="2"/>
      <c r="C42" s="2"/>
      <c r="D42" s="2"/>
      <c r="E42" s="2"/>
      <c r="F42" s="2"/>
      <c r="G42" s="2"/>
      <c r="H42" s="2"/>
      <c r="I42" s="2"/>
      <c r="J42" s="2" t="str">
        <f t="shared" si="3"/>
        <v/>
      </c>
      <c r="K42" s="2" t="str">
        <f t="shared" si="4"/>
        <v/>
      </c>
      <c r="L42" s="2" t="str">
        <f t="shared" si="5"/>
        <v/>
      </c>
      <c r="M42" s="2"/>
    </row>
    <row r="43" spans="1:13" ht="42" customHeight="1">
      <c r="A43" s="2"/>
      <c r="B43" s="2"/>
      <c r="C43" s="2"/>
      <c r="D43" s="2"/>
      <c r="E43" s="2"/>
      <c r="F43" s="2"/>
      <c r="G43" s="2"/>
      <c r="H43" s="2"/>
      <c r="I43" s="2"/>
      <c r="J43" s="2" t="str">
        <f t="shared" si="3"/>
        <v/>
      </c>
      <c r="K43" s="2" t="str">
        <f t="shared" si="4"/>
        <v/>
      </c>
      <c r="L43" s="2" t="str">
        <f t="shared" si="5"/>
        <v/>
      </c>
      <c r="M43" s="2"/>
    </row>
    <row r="44" spans="1:13" ht="42" customHeight="1">
      <c r="A44" s="2"/>
      <c r="B44" s="2"/>
      <c r="C44" s="2"/>
      <c r="D44" s="2"/>
      <c r="E44" s="2"/>
      <c r="F44" s="2"/>
      <c r="G44" s="2"/>
      <c r="H44" s="2"/>
      <c r="I44" s="2"/>
      <c r="J44" s="2" t="str">
        <f t="shared" si="3"/>
        <v/>
      </c>
      <c r="K44" s="2" t="str">
        <f t="shared" si="4"/>
        <v/>
      </c>
      <c r="L44" s="2" t="str">
        <f t="shared" si="5"/>
        <v/>
      </c>
      <c r="M44" s="2"/>
    </row>
    <row r="45" spans="1:13" ht="42" customHeight="1">
      <c r="A45" s="2"/>
      <c r="B45" s="2"/>
      <c r="C45" s="2"/>
      <c r="D45" s="2"/>
      <c r="E45" s="2"/>
      <c r="F45" s="2"/>
      <c r="G45" s="2"/>
      <c r="H45" s="2"/>
      <c r="I45" s="2"/>
      <c r="J45" s="2" t="str">
        <f t="shared" si="3"/>
        <v/>
      </c>
      <c r="K45" s="2" t="str">
        <f t="shared" si="4"/>
        <v/>
      </c>
      <c r="L45" s="2" t="str">
        <f t="shared" si="5"/>
        <v/>
      </c>
      <c r="M45" s="2"/>
    </row>
    <row r="46" spans="1:13" ht="42" customHeight="1">
      <c r="A46" s="2"/>
      <c r="B46" s="2"/>
      <c r="C46" s="2"/>
      <c r="D46" s="2"/>
      <c r="E46" s="2"/>
      <c r="F46" s="2"/>
      <c r="G46" s="2"/>
      <c r="H46" s="2"/>
      <c r="I46" s="2"/>
      <c r="J46" s="2" t="str">
        <f t="shared" si="3"/>
        <v/>
      </c>
      <c r="K46" s="2" t="str">
        <f t="shared" si="4"/>
        <v/>
      </c>
      <c r="L46" s="2" t="str">
        <f t="shared" si="5"/>
        <v/>
      </c>
      <c r="M46" s="2"/>
    </row>
    <row r="47" spans="1:13" ht="42" customHeight="1">
      <c r="A47" s="2"/>
      <c r="B47" s="2"/>
      <c r="C47" s="2"/>
      <c r="D47" s="2"/>
      <c r="E47" s="2"/>
      <c r="F47" s="2"/>
      <c r="G47" s="2"/>
      <c r="H47" s="2"/>
      <c r="I47" s="2"/>
      <c r="J47" s="2" t="str">
        <f t="shared" si="3"/>
        <v/>
      </c>
      <c r="K47" s="2" t="str">
        <f t="shared" si="4"/>
        <v/>
      </c>
      <c r="L47" s="2" t="str">
        <f t="shared" si="5"/>
        <v/>
      </c>
      <c r="M47" s="2"/>
    </row>
    <row r="48" spans="1:13" ht="42" customHeight="1">
      <c r="A48" s="2"/>
      <c r="B48" s="2"/>
      <c r="C48" s="2"/>
      <c r="D48" s="2"/>
      <c r="E48" s="2"/>
      <c r="F48" s="2"/>
      <c r="G48" s="2"/>
      <c r="H48" s="2"/>
      <c r="I48" s="2"/>
      <c r="J48" s="2" t="str">
        <f t="shared" si="3"/>
        <v/>
      </c>
      <c r="K48" s="2" t="str">
        <f t="shared" si="4"/>
        <v/>
      </c>
      <c r="L48" s="2" t="str">
        <f t="shared" si="5"/>
        <v/>
      </c>
      <c r="M48" s="2"/>
    </row>
    <row r="49" spans="1:13" ht="42" customHeight="1">
      <c r="A49" s="2"/>
      <c r="B49" s="2"/>
      <c r="C49" s="2"/>
      <c r="D49" s="2"/>
      <c r="E49" s="2"/>
      <c r="F49" s="2"/>
      <c r="G49" s="2"/>
      <c r="H49" s="2"/>
      <c r="I49" s="2"/>
      <c r="J49" s="2" t="str">
        <f t="shared" si="3"/>
        <v/>
      </c>
      <c r="K49" s="2" t="str">
        <f t="shared" si="4"/>
        <v/>
      </c>
      <c r="L49" s="2" t="str">
        <f t="shared" si="5"/>
        <v/>
      </c>
      <c r="M49" s="2"/>
    </row>
    <row r="50" spans="1:13" ht="42" customHeight="1">
      <c r="A50" s="2"/>
      <c r="B50" s="2"/>
      <c r="C50" s="2"/>
      <c r="D50" s="2"/>
      <c r="E50" s="2"/>
      <c r="F50" s="2"/>
      <c r="G50" s="2"/>
      <c r="H50" s="2"/>
      <c r="I50" s="2"/>
      <c r="J50" s="2" t="str">
        <f t="shared" si="3"/>
        <v/>
      </c>
      <c r="K50" s="2" t="str">
        <f t="shared" si="4"/>
        <v/>
      </c>
      <c r="L50" s="2" t="str">
        <f t="shared" si="5"/>
        <v/>
      </c>
      <c r="M50" s="2"/>
    </row>
    <row r="51" spans="1:13" ht="42" customHeight="1">
      <c r="A51" s="2"/>
      <c r="B51" s="2"/>
      <c r="C51" s="2"/>
      <c r="D51" s="2"/>
      <c r="E51" s="2"/>
      <c r="F51" s="2"/>
      <c r="G51" s="2"/>
      <c r="H51" s="2"/>
      <c r="I51" s="2"/>
      <c r="J51" s="2" t="str">
        <f t="shared" si="3"/>
        <v/>
      </c>
      <c r="K51" s="2" t="str">
        <f t="shared" si="4"/>
        <v/>
      </c>
      <c r="L51" s="2" t="str">
        <f t="shared" si="5"/>
        <v/>
      </c>
      <c r="M51" s="2"/>
    </row>
    <row r="52" spans="1:13" ht="42" customHeight="1">
      <c r="A52" s="2"/>
      <c r="B52" s="2"/>
      <c r="C52" s="2"/>
      <c r="D52" s="2"/>
      <c r="E52" s="2"/>
      <c r="F52" s="2"/>
      <c r="G52" s="2"/>
      <c r="H52" s="2"/>
      <c r="I52" s="2"/>
      <c r="J52" s="2" t="str">
        <f t="shared" si="3"/>
        <v/>
      </c>
      <c r="K52" s="2" t="str">
        <f t="shared" si="4"/>
        <v/>
      </c>
      <c r="L52" s="2" t="str">
        <f t="shared" si="5"/>
        <v/>
      </c>
      <c r="M52" s="2"/>
    </row>
    <row r="53" spans="1:13" ht="42" customHeight="1">
      <c r="A53" s="2"/>
      <c r="B53" s="2"/>
      <c r="C53" s="2"/>
      <c r="D53" s="2"/>
      <c r="E53" s="2"/>
      <c r="F53" s="2"/>
      <c r="G53" s="2"/>
      <c r="H53" s="2"/>
      <c r="I53" s="2"/>
      <c r="J53" s="2" t="str">
        <f t="shared" si="3"/>
        <v/>
      </c>
      <c r="K53" s="2" t="str">
        <f t="shared" si="4"/>
        <v/>
      </c>
      <c r="L53" s="2" t="str">
        <f t="shared" si="5"/>
        <v/>
      </c>
      <c r="M53" s="2"/>
    </row>
    <row r="54" spans="1:13" ht="42" customHeight="1">
      <c r="A54" s="2"/>
      <c r="B54" s="2"/>
      <c r="C54" s="2"/>
      <c r="D54" s="2"/>
      <c r="E54" s="2"/>
      <c r="F54" s="2"/>
      <c r="G54" s="2"/>
      <c r="H54" s="2"/>
      <c r="I54" s="2"/>
      <c r="J54" s="2" t="str">
        <f t="shared" si="3"/>
        <v/>
      </c>
      <c r="K54" s="2" t="str">
        <f t="shared" si="4"/>
        <v/>
      </c>
      <c r="L54" s="2" t="str">
        <f t="shared" si="5"/>
        <v/>
      </c>
      <c r="M54" s="2"/>
    </row>
    <row r="55" spans="1:13" ht="42" customHeight="1">
      <c r="A55" s="2"/>
      <c r="B55" s="2"/>
      <c r="C55" s="2"/>
      <c r="D55" s="2"/>
      <c r="E55" s="2"/>
      <c r="F55" s="2"/>
      <c r="G55" s="2"/>
      <c r="H55" s="2"/>
      <c r="I55" s="2"/>
      <c r="J55" s="2" t="str">
        <f t="shared" si="3"/>
        <v/>
      </c>
      <c r="K55" s="2" t="str">
        <f t="shared" si="4"/>
        <v/>
      </c>
      <c r="L55" s="2" t="str">
        <f t="shared" si="5"/>
        <v/>
      </c>
      <c r="M55" s="2"/>
    </row>
    <row r="56" spans="1:13" ht="42" customHeight="1">
      <c r="A56" s="2"/>
      <c r="B56" s="2"/>
      <c r="C56" s="2"/>
      <c r="D56" s="2"/>
      <c r="E56" s="2"/>
      <c r="F56" s="2"/>
      <c r="G56" s="2"/>
      <c r="H56" s="2"/>
      <c r="I56" s="2"/>
      <c r="J56" s="2" t="str">
        <f t="shared" si="3"/>
        <v/>
      </c>
      <c r="K56" s="2" t="str">
        <f t="shared" si="4"/>
        <v/>
      </c>
      <c r="L56" s="2" t="str">
        <f t="shared" si="5"/>
        <v/>
      </c>
      <c r="M56" s="2"/>
    </row>
    <row r="57" spans="1:13" ht="42" customHeight="1">
      <c r="A57" s="2"/>
      <c r="B57" s="2"/>
      <c r="C57" s="2"/>
      <c r="D57" s="2"/>
      <c r="E57" s="2"/>
      <c r="F57" s="2"/>
      <c r="G57" s="2"/>
      <c r="H57" s="2"/>
      <c r="I57" s="2"/>
      <c r="J57" s="2" t="str">
        <f t="shared" si="3"/>
        <v/>
      </c>
      <c r="K57" s="2" t="str">
        <f t="shared" si="4"/>
        <v/>
      </c>
      <c r="L57" s="2" t="str">
        <f t="shared" si="5"/>
        <v/>
      </c>
      <c r="M57" s="2"/>
    </row>
    <row r="58" spans="1:13" ht="42" customHeight="1">
      <c r="A58" s="2"/>
      <c r="B58" s="2"/>
      <c r="C58" s="2"/>
      <c r="D58" s="2"/>
      <c r="E58" s="2"/>
      <c r="F58" s="2"/>
      <c r="G58" s="2"/>
      <c r="H58" s="2"/>
      <c r="I58" s="2"/>
      <c r="J58" s="2" t="str">
        <f t="shared" si="3"/>
        <v/>
      </c>
      <c r="K58" s="2" t="str">
        <f t="shared" si="4"/>
        <v/>
      </c>
      <c r="L58" s="2" t="str">
        <f t="shared" si="5"/>
        <v/>
      </c>
      <c r="M58" s="2"/>
    </row>
    <row r="59" spans="1:13" ht="42" customHeight="1">
      <c r="A59" s="2"/>
      <c r="B59" s="2"/>
      <c r="C59" s="2"/>
      <c r="D59" s="2"/>
      <c r="E59" s="2"/>
      <c r="F59" s="2"/>
      <c r="G59" s="2"/>
      <c r="H59" s="2"/>
      <c r="I59" s="2"/>
      <c r="J59" s="2" t="str">
        <f t="shared" si="3"/>
        <v/>
      </c>
      <c r="K59" s="2" t="str">
        <f t="shared" si="4"/>
        <v/>
      </c>
      <c r="L59" s="2" t="str">
        <f t="shared" si="5"/>
        <v/>
      </c>
      <c r="M59" s="2"/>
    </row>
    <row r="60" spans="1:13" ht="42" customHeight="1">
      <c r="A60" s="2"/>
      <c r="B60" s="2"/>
      <c r="C60" s="2"/>
      <c r="D60" s="2"/>
      <c r="E60" s="2"/>
      <c r="F60" s="2"/>
      <c r="G60" s="2"/>
      <c r="H60" s="2"/>
      <c r="I60" s="2"/>
      <c r="J60" s="2" t="str">
        <f t="shared" si="3"/>
        <v/>
      </c>
      <c r="K60" s="2" t="str">
        <f t="shared" si="4"/>
        <v/>
      </c>
      <c r="L60" s="2" t="str">
        <f t="shared" si="5"/>
        <v/>
      </c>
      <c r="M60" s="2"/>
    </row>
    <row r="61" spans="1:13" ht="42" customHeight="1">
      <c r="A61" s="2"/>
      <c r="B61" s="2"/>
      <c r="C61" s="2"/>
      <c r="D61" s="2"/>
      <c r="E61" s="2"/>
      <c r="F61" s="2"/>
      <c r="G61" s="2"/>
      <c r="H61" s="2"/>
      <c r="I61" s="2"/>
      <c r="J61" s="2" t="str">
        <f t="shared" si="3"/>
        <v/>
      </c>
      <c r="K61" s="2" t="str">
        <f t="shared" si="4"/>
        <v/>
      </c>
      <c r="L61" s="2" t="str">
        <f t="shared" si="5"/>
        <v/>
      </c>
      <c r="M61" s="2"/>
    </row>
    <row r="62" spans="1:13" ht="42" customHeight="1">
      <c r="A62" s="2"/>
      <c r="B62" s="2"/>
      <c r="C62" s="2"/>
      <c r="D62" s="2"/>
      <c r="E62" s="2"/>
      <c r="F62" s="2"/>
      <c r="G62" s="2"/>
      <c r="H62" s="2"/>
      <c r="I62" s="2"/>
      <c r="J62" s="2" t="str">
        <f t="shared" si="3"/>
        <v/>
      </c>
      <c r="K62" s="2" t="str">
        <f t="shared" si="4"/>
        <v/>
      </c>
      <c r="L62" s="2" t="str">
        <f t="shared" si="5"/>
        <v/>
      </c>
      <c r="M62" s="2"/>
    </row>
    <row r="63" spans="1:13" ht="42" customHeight="1">
      <c r="A63" s="2"/>
      <c r="B63" s="2"/>
      <c r="C63" s="2"/>
      <c r="D63" s="2"/>
      <c r="E63" s="2"/>
      <c r="F63" s="2"/>
      <c r="G63" s="2"/>
      <c r="H63" s="2"/>
      <c r="I63" s="2"/>
      <c r="J63" s="2" t="str">
        <f t="shared" si="3"/>
        <v/>
      </c>
      <c r="K63" s="2" t="str">
        <f t="shared" si="4"/>
        <v/>
      </c>
      <c r="L63" s="2" t="str">
        <f t="shared" si="5"/>
        <v/>
      </c>
      <c r="M63" s="2"/>
    </row>
    <row r="64" spans="1:13" ht="42" customHeight="1">
      <c r="A64" s="2"/>
      <c r="B64" s="2"/>
      <c r="C64" s="2"/>
      <c r="D64" s="2"/>
      <c r="E64" s="2"/>
      <c r="F64" s="2"/>
      <c r="G64" s="2"/>
      <c r="H64" s="2"/>
      <c r="I64" s="2"/>
      <c r="J64" s="2" t="str">
        <f t="shared" si="3"/>
        <v/>
      </c>
      <c r="K64" s="2" t="str">
        <f t="shared" si="4"/>
        <v/>
      </c>
      <c r="L64" s="2" t="str">
        <f t="shared" si="5"/>
        <v/>
      </c>
      <c r="M64" s="2"/>
    </row>
    <row r="65" spans="1:13" ht="42" customHeight="1">
      <c r="A65" s="2"/>
      <c r="B65" s="2"/>
      <c r="C65" s="2"/>
      <c r="D65" s="2"/>
      <c r="E65" s="2"/>
      <c r="F65" s="2"/>
      <c r="G65" s="2"/>
      <c r="H65" s="2"/>
      <c r="I65" s="2"/>
      <c r="J65" s="2" t="str">
        <f t="shared" si="3"/>
        <v/>
      </c>
      <c r="K65" s="2" t="str">
        <f t="shared" si="4"/>
        <v/>
      </c>
      <c r="L65" s="2" t="str">
        <f t="shared" si="5"/>
        <v/>
      </c>
      <c r="M65" s="2"/>
    </row>
    <row r="66" spans="1:13" ht="42" customHeight="1">
      <c r="A66" s="2"/>
      <c r="B66" s="2"/>
      <c r="C66" s="2"/>
      <c r="D66" s="2"/>
      <c r="E66" s="2"/>
      <c r="F66" s="2"/>
      <c r="G66" s="2"/>
      <c r="H66" s="2"/>
      <c r="I66" s="2"/>
      <c r="J66" s="2" t="str">
        <f t="shared" si="3"/>
        <v/>
      </c>
      <c r="K66" s="2" t="str">
        <f t="shared" si="4"/>
        <v/>
      </c>
      <c r="L66" s="2" t="str">
        <f t="shared" si="5"/>
        <v/>
      </c>
      <c r="M66" s="2"/>
    </row>
    <row r="67" spans="1:13" ht="42" customHeight="1">
      <c r="A67" s="2"/>
      <c r="B67" s="2"/>
      <c r="C67" s="2"/>
      <c r="D67" s="2"/>
      <c r="E67" s="2"/>
      <c r="F67" s="2"/>
      <c r="G67" s="2"/>
      <c r="H67" s="2"/>
      <c r="I67" s="2"/>
      <c r="J67" s="2" t="str">
        <f t="shared" si="3"/>
        <v/>
      </c>
      <c r="K67" s="2" t="str">
        <f t="shared" si="4"/>
        <v/>
      </c>
      <c r="L67" s="2" t="str">
        <f t="shared" si="5"/>
        <v/>
      </c>
      <c r="M67" s="2"/>
    </row>
    <row r="68" spans="1:13" ht="42" customHeight="1">
      <c r="A68" s="2"/>
      <c r="B68" s="2"/>
      <c r="C68" s="2"/>
      <c r="D68" s="2"/>
      <c r="E68" s="2"/>
      <c r="F68" s="2"/>
      <c r="G68" s="2"/>
      <c r="H68" s="2"/>
      <c r="I68" s="2"/>
      <c r="J68" s="2" t="str">
        <f t="shared" si="3"/>
        <v/>
      </c>
      <c r="K68" s="2" t="str">
        <f t="shared" si="4"/>
        <v/>
      </c>
      <c r="L68" s="2" t="str">
        <f t="shared" si="5"/>
        <v/>
      </c>
      <c r="M68" s="2"/>
    </row>
    <row r="69" spans="1:13" ht="42" customHeight="1">
      <c r="A69" s="2"/>
      <c r="B69" s="2"/>
      <c r="C69" s="2"/>
      <c r="D69" s="2"/>
      <c r="E69" s="2"/>
      <c r="F69" s="2"/>
      <c r="G69" s="2"/>
      <c r="H69" s="2"/>
      <c r="I69" s="2"/>
      <c r="J69" s="2" t="str">
        <f t="shared" ref="J69:J100" si="6">IF(A69="","",IF(AND(E69&lt;&gt;"",F69&lt;&gt;"",H69&lt;&gt;"",I69&lt;&gt;""),"Да","Нет"))</f>
        <v/>
      </c>
      <c r="K69" s="2" t="str">
        <f t="shared" ref="K69:K104" si="7">IF(A69="","",ROUND((COUNTA(E69:I69)/5)*100,0))</f>
        <v/>
      </c>
      <c r="L69" s="2" t="str">
        <f t="shared" ref="L69:L100" si="8">IF(A69="","",IF(K69&gt;=80,"Готово",IF(K69&gt;=50,"Нужно дополнить","Черновик")))</f>
        <v/>
      </c>
      <c r="M69" s="2"/>
    </row>
    <row r="70" spans="1:13" ht="42" customHeight="1">
      <c r="A70" s="2"/>
      <c r="B70" s="2"/>
      <c r="C70" s="2"/>
      <c r="D70" s="2"/>
      <c r="E70" s="2"/>
      <c r="F70" s="2"/>
      <c r="G70" s="2"/>
      <c r="H70" s="2"/>
      <c r="I70" s="2"/>
      <c r="J70" s="2" t="str">
        <f t="shared" si="6"/>
        <v/>
      </c>
      <c r="K70" s="2" t="str">
        <f t="shared" si="7"/>
        <v/>
      </c>
      <c r="L70" s="2" t="str">
        <f t="shared" si="8"/>
        <v/>
      </c>
      <c r="M70" s="2"/>
    </row>
    <row r="71" spans="1:13" ht="42" customHeight="1">
      <c r="A71" s="2"/>
      <c r="B71" s="2"/>
      <c r="C71" s="2"/>
      <c r="D71" s="2"/>
      <c r="E71" s="2"/>
      <c r="F71" s="2"/>
      <c r="G71" s="2"/>
      <c r="H71" s="2"/>
      <c r="I71" s="2"/>
      <c r="J71" s="2" t="str">
        <f t="shared" si="6"/>
        <v/>
      </c>
      <c r="K71" s="2" t="str">
        <f t="shared" si="7"/>
        <v/>
      </c>
      <c r="L71" s="2" t="str">
        <f t="shared" si="8"/>
        <v/>
      </c>
      <c r="M71" s="2"/>
    </row>
    <row r="72" spans="1:13" ht="42" customHeight="1">
      <c r="A72" s="2"/>
      <c r="B72" s="2"/>
      <c r="C72" s="2"/>
      <c r="D72" s="2"/>
      <c r="E72" s="2"/>
      <c r="F72" s="2"/>
      <c r="G72" s="2"/>
      <c r="H72" s="2"/>
      <c r="I72" s="2"/>
      <c r="J72" s="2" t="str">
        <f t="shared" si="6"/>
        <v/>
      </c>
      <c r="K72" s="2" t="str">
        <f t="shared" si="7"/>
        <v/>
      </c>
      <c r="L72" s="2" t="str">
        <f t="shared" si="8"/>
        <v/>
      </c>
      <c r="M72" s="2"/>
    </row>
    <row r="73" spans="1:13" ht="42" customHeight="1">
      <c r="A73" s="2"/>
      <c r="B73" s="2"/>
      <c r="C73" s="2"/>
      <c r="D73" s="2"/>
      <c r="E73" s="2"/>
      <c r="F73" s="2"/>
      <c r="G73" s="2"/>
      <c r="H73" s="2"/>
      <c r="I73" s="2"/>
      <c r="J73" s="2" t="str">
        <f t="shared" si="6"/>
        <v/>
      </c>
      <c r="K73" s="2" t="str">
        <f t="shared" si="7"/>
        <v/>
      </c>
      <c r="L73" s="2" t="str">
        <f t="shared" si="8"/>
        <v/>
      </c>
      <c r="M73" s="2"/>
    </row>
    <row r="74" spans="1:13" ht="42" customHeight="1">
      <c r="A74" s="2"/>
      <c r="B74" s="2"/>
      <c r="C74" s="2"/>
      <c r="D74" s="2"/>
      <c r="E74" s="2"/>
      <c r="F74" s="2"/>
      <c r="G74" s="2"/>
      <c r="H74" s="2"/>
      <c r="I74" s="2"/>
      <c r="J74" s="2" t="str">
        <f t="shared" si="6"/>
        <v/>
      </c>
      <c r="K74" s="2" t="str">
        <f t="shared" si="7"/>
        <v/>
      </c>
      <c r="L74" s="2" t="str">
        <f t="shared" si="8"/>
        <v/>
      </c>
      <c r="M74" s="2"/>
    </row>
    <row r="75" spans="1:13" ht="42" customHeight="1">
      <c r="A75" s="2"/>
      <c r="B75" s="2"/>
      <c r="C75" s="2"/>
      <c r="D75" s="2"/>
      <c r="E75" s="2"/>
      <c r="F75" s="2"/>
      <c r="G75" s="2"/>
      <c r="H75" s="2"/>
      <c r="I75" s="2"/>
      <c r="J75" s="2" t="str">
        <f t="shared" si="6"/>
        <v/>
      </c>
      <c r="K75" s="2" t="str">
        <f t="shared" si="7"/>
        <v/>
      </c>
      <c r="L75" s="2" t="str">
        <f t="shared" si="8"/>
        <v/>
      </c>
      <c r="M75" s="2"/>
    </row>
    <row r="76" spans="1:13" ht="42" customHeight="1">
      <c r="A76" s="2"/>
      <c r="B76" s="2"/>
      <c r="C76" s="2"/>
      <c r="D76" s="2"/>
      <c r="E76" s="2"/>
      <c r="F76" s="2"/>
      <c r="G76" s="2"/>
      <c r="H76" s="2"/>
      <c r="I76" s="2"/>
      <c r="J76" s="2" t="str">
        <f t="shared" si="6"/>
        <v/>
      </c>
      <c r="K76" s="2" t="str">
        <f t="shared" si="7"/>
        <v/>
      </c>
      <c r="L76" s="2" t="str">
        <f t="shared" si="8"/>
        <v/>
      </c>
      <c r="M76" s="2"/>
    </row>
    <row r="77" spans="1:13" ht="42" customHeight="1">
      <c r="A77" s="2"/>
      <c r="B77" s="2"/>
      <c r="C77" s="2"/>
      <c r="D77" s="2"/>
      <c r="E77" s="2"/>
      <c r="F77" s="2"/>
      <c r="G77" s="2"/>
      <c r="H77" s="2"/>
      <c r="I77" s="2"/>
      <c r="J77" s="2" t="str">
        <f t="shared" si="6"/>
        <v/>
      </c>
      <c r="K77" s="2" t="str">
        <f t="shared" si="7"/>
        <v/>
      </c>
      <c r="L77" s="2" t="str">
        <f t="shared" si="8"/>
        <v/>
      </c>
      <c r="M77" s="2"/>
    </row>
    <row r="78" spans="1:13" ht="42" customHeight="1">
      <c r="A78" s="2"/>
      <c r="B78" s="2"/>
      <c r="C78" s="2"/>
      <c r="D78" s="2"/>
      <c r="E78" s="2"/>
      <c r="F78" s="2"/>
      <c r="G78" s="2"/>
      <c r="H78" s="2"/>
      <c r="I78" s="2"/>
      <c r="J78" s="2" t="str">
        <f t="shared" si="6"/>
        <v/>
      </c>
      <c r="K78" s="2" t="str">
        <f t="shared" si="7"/>
        <v/>
      </c>
      <c r="L78" s="2" t="str">
        <f t="shared" si="8"/>
        <v/>
      </c>
      <c r="M78" s="2"/>
    </row>
    <row r="79" spans="1:13" ht="42" customHeight="1">
      <c r="A79" s="2"/>
      <c r="B79" s="2"/>
      <c r="C79" s="2"/>
      <c r="D79" s="2"/>
      <c r="E79" s="2"/>
      <c r="F79" s="2"/>
      <c r="G79" s="2"/>
      <c r="H79" s="2"/>
      <c r="I79" s="2"/>
      <c r="J79" s="2" t="str">
        <f t="shared" si="6"/>
        <v/>
      </c>
      <c r="K79" s="2" t="str">
        <f t="shared" si="7"/>
        <v/>
      </c>
      <c r="L79" s="2" t="str">
        <f t="shared" si="8"/>
        <v/>
      </c>
      <c r="M79" s="2"/>
    </row>
    <row r="80" spans="1:13" ht="42" customHeight="1">
      <c r="A80" s="2"/>
      <c r="B80" s="2"/>
      <c r="C80" s="2"/>
      <c r="D80" s="2"/>
      <c r="E80" s="2"/>
      <c r="F80" s="2"/>
      <c r="G80" s="2"/>
      <c r="H80" s="2"/>
      <c r="I80" s="2"/>
      <c r="J80" s="2" t="str">
        <f t="shared" si="6"/>
        <v/>
      </c>
      <c r="K80" s="2" t="str">
        <f t="shared" si="7"/>
        <v/>
      </c>
      <c r="L80" s="2" t="str">
        <f t="shared" si="8"/>
        <v/>
      </c>
      <c r="M80" s="2"/>
    </row>
    <row r="81" spans="1:13" ht="42" customHeight="1">
      <c r="A81" s="2"/>
      <c r="B81" s="2"/>
      <c r="C81" s="2"/>
      <c r="D81" s="2"/>
      <c r="E81" s="2"/>
      <c r="F81" s="2"/>
      <c r="G81" s="2"/>
      <c r="H81" s="2"/>
      <c r="I81" s="2"/>
      <c r="J81" s="2" t="str">
        <f t="shared" si="6"/>
        <v/>
      </c>
      <c r="K81" s="2" t="str">
        <f t="shared" si="7"/>
        <v/>
      </c>
      <c r="L81" s="2" t="str">
        <f t="shared" si="8"/>
        <v/>
      </c>
      <c r="M81" s="2"/>
    </row>
    <row r="82" spans="1:13" ht="42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 t="shared" si="6"/>
        <v/>
      </c>
      <c r="K82" s="2" t="str">
        <f t="shared" si="7"/>
        <v/>
      </c>
      <c r="L82" s="2" t="str">
        <f t="shared" si="8"/>
        <v/>
      </c>
      <c r="M82" s="2"/>
    </row>
    <row r="83" spans="1:13" ht="42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 t="shared" si="6"/>
        <v/>
      </c>
      <c r="K83" s="2" t="str">
        <f t="shared" si="7"/>
        <v/>
      </c>
      <c r="L83" s="2" t="str">
        <f t="shared" si="8"/>
        <v/>
      </c>
      <c r="M83" s="2"/>
    </row>
    <row r="84" spans="1:13" ht="42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 t="shared" si="6"/>
        <v/>
      </c>
      <c r="K84" s="2" t="str">
        <f t="shared" si="7"/>
        <v/>
      </c>
      <c r="L84" s="2" t="str">
        <f t="shared" si="8"/>
        <v/>
      </c>
      <c r="M84" s="2"/>
    </row>
    <row r="85" spans="1:13" ht="42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 t="shared" si="6"/>
        <v/>
      </c>
      <c r="K85" s="2" t="str">
        <f t="shared" si="7"/>
        <v/>
      </c>
      <c r="L85" s="2" t="str">
        <f t="shared" si="8"/>
        <v/>
      </c>
      <c r="M85" s="2"/>
    </row>
    <row r="86" spans="1:13" ht="42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 t="shared" si="6"/>
        <v/>
      </c>
      <c r="K86" s="2" t="str">
        <f t="shared" si="7"/>
        <v/>
      </c>
      <c r="L86" s="2" t="str">
        <f t="shared" si="8"/>
        <v/>
      </c>
      <c r="M86" s="2"/>
    </row>
    <row r="87" spans="1:13" ht="42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 t="shared" si="6"/>
        <v/>
      </c>
      <c r="K87" s="2" t="str">
        <f t="shared" si="7"/>
        <v/>
      </c>
      <c r="L87" s="2" t="str">
        <f t="shared" si="8"/>
        <v/>
      </c>
      <c r="M87" s="2"/>
    </row>
    <row r="88" spans="1:13" ht="42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 t="shared" si="6"/>
        <v/>
      </c>
      <c r="K88" s="2" t="str">
        <f t="shared" si="7"/>
        <v/>
      </c>
      <c r="L88" s="2" t="str">
        <f t="shared" si="8"/>
        <v/>
      </c>
      <c r="M88" s="2"/>
    </row>
    <row r="89" spans="1:13" ht="42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 t="shared" si="6"/>
        <v/>
      </c>
      <c r="K89" s="2" t="str">
        <f t="shared" si="7"/>
        <v/>
      </c>
      <c r="L89" s="2" t="str">
        <f t="shared" si="8"/>
        <v/>
      </c>
      <c r="M89" s="2"/>
    </row>
    <row r="90" spans="1:13" ht="42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 t="shared" si="6"/>
        <v/>
      </c>
      <c r="K90" s="2" t="str">
        <f t="shared" si="7"/>
        <v/>
      </c>
      <c r="L90" s="2" t="str">
        <f t="shared" si="8"/>
        <v/>
      </c>
      <c r="M90" s="2"/>
    </row>
    <row r="91" spans="1:13" ht="42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 t="shared" si="6"/>
        <v/>
      </c>
      <c r="K91" s="2" t="str">
        <f t="shared" si="7"/>
        <v/>
      </c>
      <c r="L91" s="2" t="str">
        <f t="shared" si="8"/>
        <v/>
      </c>
      <c r="M91" s="2"/>
    </row>
    <row r="92" spans="1:13" ht="42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 t="shared" si="6"/>
        <v/>
      </c>
      <c r="K92" s="2" t="str">
        <f t="shared" si="7"/>
        <v/>
      </c>
      <c r="L92" s="2" t="str">
        <f t="shared" si="8"/>
        <v/>
      </c>
      <c r="M92" s="2"/>
    </row>
    <row r="93" spans="1:13" ht="42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 t="shared" si="6"/>
        <v/>
      </c>
      <c r="K93" s="2" t="str">
        <f t="shared" si="7"/>
        <v/>
      </c>
      <c r="L93" s="2" t="str">
        <f t="shared" si="8"/>
        <v/>
      </c>
      <c r="M93" s="2"/>
    </row>
    <row r="94" spans="1:13" ht="42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 t="shared" si="6"/>
        <v/>
      </c>
      <c r="K94" s="2" t="str">
        <f t="shared" si="7"/>
        <v/>
      </c>
      <c r="L94" s="2" t="str">
        <f t="shared" si="8"/>
        <v/>
      </c>
      <c r="M94" s="2"/>
    </row>
    <row r="95" spans="1:13" ht="42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 t="shared" si="6"/>
        <v/>
      </c>
      <c r="K95" s="2" t="str">
        <f t="shared" si="7"/>
        <v/>
      </c>
      <c r="L95" s="2" t="str">
        <f t="shared" si="8"/>
        <v/>
      </c>
      <c r="M95" s="2"/>
    </row>
    <row r="96" spans="1:13" ht="42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 t="shared" si="6"/>
        <v/>
      </c>
      <c r="K96" s="2" t="str">
        <f t="shared" si="7"/>
        <v/>
      </c>
      <c r="L96" s="2" t="str">
        <f t="shared" si="8"/>
        <v/>
      </c>
      <c r="M96" s="2"/>
    </row>
    <row r="97" spans="1:13" ht="42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 t="shared" si="6"/>
        <v/>
      </c>
      <c r="K97" s="2" t="str">
        <f t="shared" si="7"/>
        <v/>
      </c>
      <c r="L97" s="2" t="str">
        <f t="shared" si="8"/>
        <v/>
      </c>
      <c r="M97" s="2"/>
    </row>
    <row r="98" spans="1:13" ht="42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 t="shared" si="6"/>
        <v/>
      </c>
      <c r="K98" s="2" t="str">
        <f t="shared" si="7"/>
        <v/>
      </c>
      <c r="L98" s="2" t="str">
        <f t="shared" si="8"/>
        <v/>
      </c>
      <c r="M98" s="2"/>
    </row>
    <row r="99" spans="1:13" ht="42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 t="shared" si="6"/>
        <v/>
      </c>
      <c r="K99" s="2" t="str">
        <f t="shared" si="7"/>
        <v/>
      </c>
      <c r="L99" s="2" t="str">
        <f t="shared" si="8"/>
        <v/>
      </c>
      <c r="M99" s="2"/>
    </row>
    <row r="100" spans="1:13" ht="42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 t="shared" si="6"/>
        <v/>
      </c>
      <c r="K100" s="2" t="str">
        <f t="shared" si="7"/>
        <v/>
      </c>
      <c r="L100" s="2" t="str">
        <f t="shared" si="8"/>
        <v/>
      </c>
      <c r="M100" s="2"/>
    </row>
    <row r="101" spans="1:13" ht="42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 t="shared" ref="J101:J132" si="9">IF(A101="","",IF(AND(E101&lt;&gt;"",F101&lt;&gt;"",H101&lt;&gt;"",I101&lt;&gt;""),"Да","Нет"))</f>
        <v/>
      </c>
      <c r="K101" s="2" t="str">
        <f t="shared" si="7"/>
        <v/>
      </c>
      <c r="L101" s="2" t="str">
        <f t="shared" ref="L101:L132" si="10">IF(A101="","",IF(K101&gt;=80,"Готово",IF(K101&gt;=50,"Нужно дополнить","Черновик")))</f>
        <v/>
      </c>
      <c r="M101" s="2"/>
    </row>
    <row r="102" spans="1:13" ht="42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 t="shared" si="9"/>
        <v/>
      </c>
      <c r="K102" s="2" t="str">
        <f t="shared" si="7"/>
        <v/>
      </c>
      <c r="L102" s="2" t="str">
        <f t="shared" si="10"/>
        <v/>
      </c>
      <c r="M102" s="2"/>
    </row>
    <row r="103" spans="1:13" ht="42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 t="shared" si="9"/>
        <v/>
      </c>
      <c r="K103" s="2" t="str">
        <f t="shared" si="7"/>
        <v/>
      </c>
      <c r="L103" s="2" t="str">
        <f t="shared" si="10"/>
        <v/>
      </c>
      <c r="M103" s="2"/>
    </row>
    <row r="104" spans="1:13" ht="42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 t="shared" si="9"/>
        <v/>
      </c>
      <c r="K104" s="2" t="str">
        <f t="shared" si="7"/>
        <v/>
      </c>
      <c r="L104" s="2" t="str">
        <f t="shared" si="10"/>
        <v/>
      </c>
      <c r="M104" s="2"/>
    </row>
  </sheetData>
  <mergeCells count="2">
    <mergeCell ref="A1:M1"/>
    <mergeCell ref="A2:M2"/>
  </mergeCells>
  <conditionalFormatting sqref="K5:K104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{69F079BF-2A0E-0724-4F29-786D436DF1E4}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F079BF-2A0E-0724-4F29-786D436DF1E4}">
            <x14:dataBar>
              <x14:cfvo type="min"/>
              <x14:cfvo type="max"/>
              <x14:negativeFillColor auto="1"/>
              <x14:axisColor auto="1"/>
            </x14:dataBar>
          </x14:cfRule>
          <xm:sqref>K5:K104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Справочники!$F$4:$F$12</xm:f>
          </x14:formula1>
          <xm:sqref>D5:D104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4"/>
  <sheetViews>
    <sheetView workbookViewId="0"/>
  </sheetViews>
  <sheetFormatPr defaultRowHeight="14.25"/>
  <cols>
    <col min="1" max="1" width="14" customWidth="1"/>
    <col min="2" max="2" width="12" customWidth="1"/>
    <col min="3" max="3" width="24" customWidth="1"/>
    <col min="4" max="4" width="44" customWidth="1"/>
    <col min="5" max="5" width="18" customWidth="1"/>
    <col min="6" max="6" width="14" customWidth="1"/>
    <col min="7" max="7" width="18" customWidth="1"/>
    <col min="8" max="8" width="17" customWidth="1"/>
    <col min="9" max="9" width="42" customWidth="1"/>
    <col min="10" max="11" width="18" customWidth="1"/>
    <col min="12" max="12" width="17" customWidth="1"/>
    <col min="13" max="13" width="20" customWidth="1"/>
    <col min="14" max="14" width="18" customWidth="1"/>
  </cols>
  <sheetData>
    <row r="1" spans="1:14" ht="27.95" customHeight="1">
      <c r="A1" s="17" t="s">
        <v>185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3.950000000000003" customHeight="1">
      <c r="A2" s="19" t="s">
        <v>186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33.950000000000003" customHeight="1">
      <c r="A4" s="1" t="s">
        <v>187</v>
      </c>
      <c r="B4" s="1" t="s">
        <v>174</v>
      </c>
      <c r="C4" s="1" t="s">
        <v>188</v>
      </c>
      <c r="D4" s="1" t="s">
        <v>189</v>
      </c>
      <c r="E4" s="1" t="s">
        <v>9</v>
      </c>
      <c r="F4" s="1" t="s">
        <v>190</v>
      </c>
      <c r="G4" s="1" t="s">
        <v>191</v>
      </c>
      <c r="H4" s="1" t="s">
        <v>192</v>
      </c>
      <c r="I4" s="1" t="s">
        <v>193</v>
      </c>
      <c r="J4" s="1" t="s">
        <v>194</v>
      </c>
      <c r="K4" s="1" t="s">
        <v>195</v>
      </c>
      <c r="L4" s="1" t="s">
        <v>196</v>
      </c>
      <c r="M4" s="1" t="s">
        <v>197</v>
      </c>
      <c r="N4" s="1" t="s">
        <v>10</v>
      </c>
    </row>
    <row r="5" spans="1:14" ht="42" customHeight="1">
      <c r="A5" s="2" t="s">
        <v>198</v>
      </c>
      <c r="B5" s="2" t="s">
        <v>406</v>
      </c>
      <c r="C5" s="2" t="s">
        <v>20</v>
      </c>
      <c r="D5" s="2" t="s">
        <v>422</v>
      </c>
      <c r="E5" s="2" t="s">
        <v>33</v>
      </c>
      <c r="F5" s="13">
        <v>4</v>
      </c>
      <c r="G5" s="13">
        <v>15</v>
      </c>
      <c r="H5" s="13">
        <f t="shared" ref="H5:H36" si="0">IF(OR(F5="",G5=""),"",F5*G5)</f>
        <v>60</v>
      </c>
      <c r="I5" s="2" t="s">
        <v>423</v>
      </c>
      <c r="J5" s="2">
        <v>4</v>
      </c>
      <c r="K5" s="2">
        <v>5</v>
      </c>
      <c r="L5" s="2">
        <v>4</v>
      </c>
      <c r="M5" s="2">
        <f t="shared" ref="M5:M36" si="1">IF(COUNTA(J5:L5)=0,"",ROUND(((J5*0.4)+(K5*0.3)+(L5*0.3))*20,0))</f>
        <v>86</v>
      </c>
      <c r="N5" s="2" t="str">
        <f t="shared" ref="N5:N36" si="2">IF(A5="","",IF(M5&gt;=80,"Готово",IF(M5&gt;=60,"Нужно дополнить",IF(M5&gt;=40,"Черновик","Отклонить"))))</f>
        <v>Готово</v>
      </c>
    </row>
    <row r="6" spans="1:14" ht="42" customHeight="1">
      <c r="A6" s="2" t="s">
        <v>424</v>
      </c>
      <c r="B6" s="2" t="s">
        <v>406</v>
      </c>
      <c r="C6" s="2" t="s">
        <v>20</v>
      </c>
      <c r="D6" s="2" t="s">
        <v>425</v>
      </c>
      <c r="E6" s="2" t="s">
        <v>56</v>
      </c>
      <c r="F6" s="13">
        <v>40</v>
      </c>
      <c r="G6" s="13">
        <v>1</v>
      </c>
      <c r="H6" s="13">
        <f t="shared" si="0"/>
        <v>40</v>
      </c>
      <c r="I6" s="2" t="s">
        <v>426</v>
      </c>
      <c r="J6" s="2">
        <v>4</v>
      </c>
      <c r="K6" s="2">
        <v>4</v>
      </c>
      <c r="L6" s="2">
        <v>3</v>
      </c>
      <c r="M6" s="2">
        <f t="shared" si="1"/>
        <v>74</v>
      </c>
      <c r="N6" s="2" t="str">
        <f t="shared" si="2"/>
        <v>Нужно дополнить</v>
      </c>
    </row>
    <row r="7" spans="1:14" ht="42" customHeight="1">
      <c r="A7" s="2" t="s">
        <v>427</v>
      </c>
      <c r="B7" s="2" t="s">
        <v>414</v>
      </c>
      <c r="C7" s="2" t="s">
        <v>79</v>
      </c>
      <c r="D7" s="2" t="s">
        <v>428</v>
      </c>
      <c r="E7" s="2" t="s">
        <v>56</v>
      </c>
      <c r="F7" s="13"/>
      <c r="G7" s="13"/>
      <c r="H7" s="13" t="str">
        <f t="shared" si="0"/>
        <v/>
      </c>
      <c r="I7" s="2" t="s">
        <v>429</v>
      </c>
      <c r="J7" s="2">
        <v>3</v>
      </c>
      <c r="K7" s="2">
        <v>3</v>
      </c>
      <c r="L7" s="2">
        <v>3</v>
      </c>
      <c r="M7" s="2">
        <f t="shared" si="1"/>
        <v>60</v>
      </c>
      <c r="N7" s="2" t="str">
        <f t="shared" si="2"/>
        <v>Нужно дополнить</v>
      </c>
    </row>
    <row r="8" spans="1:14" ht="42" customHeight="1">
      <c r="A8" s="2"/>
      <c r="B8" s="2"/>
      <c r="C8" s="2"/>
      <c r="D8" s="2"/>
      <c r="E8" s="2"/>
      <c r="F8" s="13"/>
      <c r="G8" s="13"/>
      <c r="H8" s="13" t="str">
        <f t="shared" si="0"/>
        <v/>
      </c>
      <c r="I8" s="2"/>
      <c r="J8" s="2"/>
      <c r="K8" s="2"/>
      <c r="L8" s="2"/>
      <c r="M8" s="2" t="str">
        <f t="shared" si="1"/>
        <v/>
      </c>
      <c r="N8" s="2" t="str">
        <f t="shared" si="2"/>
        <v/>
      </c>
    </row>
    <row r="9" spans="1:14" ht="42" customHeight="1">
      <c r="A9" s="2"/>
      <c r="B9" s="2"/>
      <c r="C9" s="2"/>
      <c r="D9" s="2"/>
      <c r="E9" s="2"/>
      <c r="F9" s="13"/>
      <c r="G9" s="13"/>
      <c r="H9" s="13" t="str">
        <f t="shared" si="0"/>
        <v/>
      </c>
      <c r="I9" s="2"/>
      <c r="J9" s="2"/>
      <c r="K9" s="2"/>
      <c r="L9" s="2"/>
      <c r="M9" s="2" t="str">
        <f t="shared" si="1"/>
        <v/>
      </c>
      <c r="N9" s="2" t="str">
        <f t="shared" si="2"/>
        <v/>
      </c>
    </row>
    <row r="10" spans="1:14" ht="42" customHeight="1">
      <c r="A10" s="2"/>
      <c r="B10" s="2"/>
      <c r="C10" s="2"/>
      <c r="D10" s="2"/>
      <c r="E10" s="2"/>
      <c r="F10" s="13"/>
      <c r="G10" s="13"/>
      <c r="H10" s="13" t="str">
        <f t="shared" si="0"/>
        <v/>
      </c>
      <c r="I10" s="2"/>
      <c r="J10" s="2"/>
      <c r="K10" s="2"/>
      <c r="L10" s="2"/>
      <c r="M10" s="2" t="str">
        <f t="shared" si="1"/>
        <v/>
      </c>
      <c r="N10" s="2" t="str">
        <f t="shared" si="2"/>
        <v/>
      </c>
    </row>
    <row r="11" spans="1:14" ht="42" customHeight="1">
      <c r="A11" s="2"/>
      <c r="B11" s="2"/>
      <c r="C11" s="2"/>
      <c r="D11" s="2"/>
      <c r="E11" s="2"/>
      <c r="F11" s="13"/>
      <c r="G11" s="13"/>
      <c r="H11" s="13" t="str">
        <f t="shared" si="0"/>
        <v/>
      </c>
      <c r="I11" s="2"/>
      <c r="J11" s="2"/>
      <c r="K11" s="2"/>
      <c r="L11" s="2"/>
      <c r="M11" s="2" t="str">
        <f t="shared" si="1"/>
        <v/>
      </c>
      <c r="N11" s="2" t="str">
        <f t="shared" si="2"/>
        <v/>
      </c>
    </row>
    <row r="12" spans="1:14" ht="42" customHeight="1">
      <c r="A12" s="2"/>
      <c r="B12" s="2"/>
      <c r="C12" s="2"/>
      <c r="D12" s="2"/>
      <c r="E12" s="2"/>
      <c r="F12" s="13"/>
      <c r="G12" s="13"/>
      <c r="H12" s="13" t="str">
        <f t="shared" si="0"/>
        <v/>
      </c>
      <c r="I12" s="2"/>
      <c r="J12" s="2"/>
      <c r="K12" s="2"/>
      <c r="L12" s="2"/>
      <c r="M12" s="2" t="str">
        <f t="shared" si="1"/>
        <v/>
      </c>
      <c r="N12" s="2" t="str">
        <f t="shared" si="2"/>
        <v/>
      </c>
    </row>
    <row r="13" spans="1:14" ht="42" customHeight="1">
      <c r="A13" s="2"/>
      <c r="B13" s="2"/>
      <c r="C13" s="2"/>
      <c r="D13" s="2"/>
      <c r="E13" s="2"/>
      <c r="F13" s="13"/>
      <c r="G13" s="13"/>
      <c r="H13" s="13" t="str">
        <f t="shared" si="0"/>
        <v/>
      </c>
      <c r="I13" s="2"/>
      <c r="J13" s="2"/>
      <c r="K13" s="2"/>
      <c r="L13" s="2"/>
      <c r="M13" s="2" t="str">
        <f t="shared" si="1"/>
        <v/>
      </c>
      <c r="N13" s="2" t="str">
        <f t="shared" si="2"/>
        <v/>
      </c>
    </row>
    <row r="14" spans="1:14" ht="42" customHeight="1">
      <c r="A14" s="2"/>
      <c r="B14" s="2"/>
      <c r="C14" s="2"/>
      <c r="D14" s="2"/>
      <c r="E14" s="2"/>
      <c r="F14" s="13"/>
      <c r="G14" s="13"/>
      <c r="H14" s="13" t="str">
        <f t="shared" si="0"/>
        <v/>
      </c>
      <c r="I14" s="2"/>
      <c r="J14" s="2"/>
      <c r="K14" s="2"/>
      <c r="L14" s="2"/>
      <c r="M14" s="2" t="str">
        <f t="shared" si="1"/>
        <v/>
      </c>
      <c r="N14" s="2" t="str">
        <f t="shared" si="2"/>
        <v/>
      </c>
    </row>
    <row r="15" spans="1:14" ht="42" customHeight="1">
      <c r="A15" s="2"/>
      <c r="B15" s="2"/>
      <c r="C15" s="2"/>
      <c r="D15" s="2"/>
      <c r="E15" s="2"/>
      <c r="F15" s="13"/>
      <c r="G15" s="13"/>
      <c r="H15" s="13" t="str">
        <f t="shared" si="0"/>
        <v/>
      </c>
      <c r="I15" s="2"/>
      <c r="J15" s="2"/>
      <c r="K15" s="2"/>
      <c r="L15" s="2"/>
      <c r="M15" s="2" t="str">
        <f t="shared" si="1"/>
        <v/>
      </c>
      <c r="N15" s="2" t="str">
        <f t="shared" si="2"/>
        <v/>
      </c>
    </row>
    <row r="16" spans="1:14" ht="42" customHeight="1">
      <c r="A16" s="2"/>
      <c r="B16" s="2"/>
      <c r="C16" s="2"/>
      <c r="D16" s="2"/>
      <c r="E16" s="2"/>
      <c r="F16" s="13"/>
      <c r="G16" s="13"/>
      <c r="H16" s="13" t="str">
        <f t="shared" si="0"/>
        <v/>
      </c>
      <c r="I16" s="2"/>
      <c r="J16" s="2"/>
      <c r="K16" s="2"/>
      <c r="L16" s="2"/>
      <c r="M16" s="2" t="str">
        <f t="shared" si="1"/>
        <v/>
      </c>
      <c r="N16" s="2" t="str">
        <f t="shared" si="2"/>
        <v/>
      </c>
    </row>
    <row r="17" spans="1:14" ht="42" customHeight="1">
      <c r="A17" s="2"/>
      <c r="B17" s="2"/>
      <c r="C17" s="2"/>
      <c r="D17" s="2"/>
      <c r="E17" s="2"/>
      <c r="F17" s="13"/>
      <c r="G17" s="13"/>
      <c r="H17" s="13" t="str">
        <f t="shared" si="0"/>
        <v/>
      </c>
      <c r="I17" s="2"/>
      <c r="J17" s="2"/>
      <c r="K17" s="2"/>
      <c r="L17" s="2"/>
      <c r="M17" s="2" t="str">
        <f t="shared" si="1"/>
        <v/>
      </c>
      <c r="N17" s="2" t="str">
        <f t="shared" si="2"/>
        <v/>
      </c>
    </row>
    <row r="18" spans="1:14" ht="42" customHeight="1">
      <c r="A18" s="2"/>
      <c r="B18" s="2"/>
      <c r="C18" s="2"/>
      <c r="D18" s="2"/>
      <c r="E18" s="2"/>
      <c r="F18" s="13"/>
      <c r="G18" s="13"/>
      <c r="H18" s="13" t="str">
        <f t="shared" si="0"/>
        <v/>
      </c>
      <c r="I18" s="2"/>
      <c r="J18" s="2"/>
      <c r="K18" s="2"/>
      <c r="L18" s="2"/>
      <c r="M18" s="2" t="str">
        <f t="shared" si="1"/>
        <v/>
      </c>
      <c r="N18" s="2" t="str">
        <f t="shared" si="2"/>
        <v/>
      </c>
    </row>
    <row r="19" spans="1:14" ht="42" customHeight="1">
      <c r="A19" s="2"/>
      <c r="B19" s="2"/>
      <c r="C19" s="2"/>
      <c r="D19" s="2"/>
      <c r="E19" s="2"/>
      <c r="F19" s="13"/>
      <c r="G19" s="13"/>
      <c r="H19" s="13" t="str">
        <f t="shared" si="0"/>
        <v/>
      </c>
      <c r="I19" s="2"/>
      <c r="J19" s="2"/>
      <c r="K19" s="2"/>
      <c r="L19" s="2"/>
      <c r="M19" s="2" t="str">
        <f t="shared" si="1"/>
        <v/>
      </c>
      <c r="N19" s="2" t="str">
        <f t="shared" si="2"/>
        <v/>
      </c>
    </row>
    <row r="20" spans="1:14" ht="42" customHeight="1">
      <c r="A20" s="2"/>
      <c r="B20" s="2"/>
      <c r="C20" s="2"/>
      <c r="D20" s="2"/>
      <c r="E20" s="2"/>
      <c r="F20" s="13"/>
      <c r="G20" s="13"/>
      <c r="H20" s="13" t="str">
        <f t="shared" si="0"/>
        <v/>
      </c>
      <c r="I20" s="2"/>
      <c r="J20" s="2"/>
      <c r="K20" s="2"/>
      <c r="L20" s="2"/>
      <c r="M20" s="2" t="str">
        <f t="shared" si="1"/>
        <v/>
      </c>
      <c r="N20" s="2" t="str">
        <f t="shared" si="2"/>
        <v/>
      </c>
    </row>
    <row r="21" spans="1:14" ht="42" customHeight="1">
      <c r="A21" s="2"/>
      <c r="B21" s="2"/>
      <c r="C21" s="2"/>
      <c r="D21" s="2"/>
      <c r="E21" s="2"/>
      <c r="F21" s="13"/>
      <c r="G21" s="13"/>
      <c r="H21" s="13" t="str">
        <f t="shared" si="0"/>
        <v/>
      </c>
      <c r="I21" s="2"/>
      <c r="J21" s="2"/>
      <c r="K21" s="2"/>
      <c r="L21" s="2"/>
      <c r="M21" s="2" t="str">
        <f t="shared" si="1"/>
        <v/>
      </c>
      <c r="N21" s="2" t="str">
        <f t="shared" si="2"/>
        <v/>
      </c>
    </row>
    <row r="22" spans="1:14" ht="42" customHeight="1">
      <c r="A22" s="2"/>
      <c r="B22" s="2"/>
      <c r="C22" s="2"/>
      <c r="D22" s="2"/>
      <c r="E22" s="2"/>
      <c r="F22" s="13"/>
      <c r="G22" s="13"/>
      <c r="H22" s="13" t="str">
        <f t="shared" si="0"/>
        <v/>
      </c>
      <c r="I22" s="2"/>
      <c r="J22" s="2"/>
      <c r="K22" s="2"/>
      <c r="L22" s="2"/>
      <c r="M22" s="2" t="str">
        <f t="shared" si="1"/>
        <v/>
      </c>
      <c r="N22" s="2" t="str">
        <f t="shared" si="2"/>
        <v/>
      </c>
    </row>
    <row r="23" spans="1:14" ht="42" customHeight="1">
      <c r="A23" s="2"/>
      <c r="B23" s="2"/>
      <c r="C23" s="2"/>
      <c r="D23" s="2"/>
      <c r="E23" s="2"/>
      <c r="F23" s="13"/>
      <c r="G23" s="13"/>
      <c r="H23" s="13" t="str">
        <f t="shared" si="0"/>
        <v/>
      </c>
      <c r="I23" s="2"/>
      <c r="J23" s="2"/>
      <c r="K23" s="2"/>
      <c r="L23" s="2"/>
      <c r="M23" s="2" t="str">
        <f t="shared" si="1"/>
        <v/>
      </c>
      <c r="N23" s="2" t="str">
        <f t="shared" si="2"/>
        <v/>
      </c>
    </row>
    <row r="24" spans="1:14" ht="42" customHeight="1">
      <c r="A24" s="2"/>
      <c r="B24" s="2"/>
      <c r="C24" s="2"/>
      <c r="D24" s="2"/>
      <c r="E24" s="2"/>
      <c r="F24" s="13"/>
      <c r="G24" s="13"/>
      <c r="H24" s="13" t="str">
        <f t="shared" si="0"/>
        <v/>
      </c>
      <c r="I24" s="2"/>
      <c r="J24" s="2"/>
      <c r="K24" s="2"/>
      <c r="L24" s="2"/>
      <c r="M24" s="2" t="str">
        <f t="shared" si="1"/>
        <v/>
      </c>
      <c r="N24" s="2" t="str">
        <f t="shared" si="2"/>
        <v/>
      </c>
    </row>
    <row r="25" spans="1:14" ht="42" customHeight="1">
      <c r="A25" s="2"/>
      <c r="B25" s="2"/>
      <c r="C25" s="2"/>
      <c r="D25" s="2"/>
      <c r="E25" s="2"/>
      <c r="F25" s="13"/>
      <c r="G25" s="13"/>
      <c r="H25" s="13" t="str">
        <f t="shared" si="0"/>
        <v/>
      </c>
      <c r="I25" s="2"/>
      <c r="J25" s="2"/>
      <c r="K25" s="2"/>
      <c r="L25" s="2"/>
      <c r="M25" s="2" t="str">
        <f t="shared" si="1"/>
        <v/>
      </c>
      <c r="N25" s="2" t="str">
        <f t="shared" si="2"/>
        <v/>
      </c>
    </row>
    <row r="26" spans="1:14" ht="42" customHeight="1">
      <c r="A26" s="2"/>
      <c r="B26" s="2"/>
      <c r="C26" s="2"/>
      <c r="D26" s="2"/>
      <c r="E26" s="2"/>
      <c r="F26" s="13"/>
      <c r="G26" s="13"/>
      <c r="H26" s="13" t="str">
        <f t="shared" si="0"/>
        <v/>
      </c>
      <c r="I26" s="2"/>
      <c r="J26" s="2"/>
      <c r="K26" s="2"/>
      <c r="L26" s="2"/>
      <c r="M26" s="2" t="str">
        <f t="shared" si="1"/>
        <v/>
      </c>
      <c r="N26" s="2" t="str">
        <f t="shared" si="2"/>
        <v/>
      </c>
    </row>
    <row r="27" spans="1:14" ht="42" customHeight="1">
      <c r="A27" s="2"/>
      <c r="B27" s="2"/>
      <c r="C27" s="2"/>
      <c r="D27" s="2"/>
      <c r="E27" s="2"/>
      <c r="F27" s="13"/>
      <c r="G27" s="13"/>
      <c r="H27" s="13" t="str">
        <f t="shared" si="0"/>
        <v/>
      </c>
      <c r="I27" s="2"/>
      <c r="J27" s="2"/>
      <c r="K27" s="2"/>
      <c r="L27" s="2"/>
      <c r="M27" s="2" t="str">
        <f t="shared" si="1"/>
        <v/>
      </c>
      <c r="N27" s="2" t="str">
        <f t="shared" si="2"/>
        <v/>
      </c>
    </row>
    <row r="28" spans="1:14" ht="42" customHeight="1">
      <c r="A28" s="2"/>
      <c r="B28" s="2"/>
      <c r="C28" s="2"/>
      <c r="D28" s="2"/>
      <c r="E28" s="2"/>
      <c r="F28" s="13"/>
      <c r="G28" s="13"/>
      <c r="H28" s="13" t="str">
        <f t="shared" si="0"/>
        <v/>
      </c>
      <c r="I28" s="2"/>
      <c r="J28" s="2"/>
      <c r="K28" s="2"/>
      <c r="L28" s="2"/>
      <c r="M28" s="2" t="str">
        <f t="shared" si="1"/>
        <v/>
      </c>
      <c r="N28" s="2" t="str">
        <f t="shared" si="2"/>
        <v/>
      </c>
    </row>
    <row r="29" spans="1:14" ht="42" customHeight="1">
      <c r="A29" s="2"/>
      <c r="B29" s="2"/>
      <c r="C29" s="2"/>
      <c r="D29" s="2"/>
      <c r="E29" s="2"/>
      <c r="F29" s="13"/>
      <c r="G29" s="13"/>
      <c r="H29" s="13" t="str">
        <f t="shared" si="0"/>
        <v/>
      </c>
      <c r="I29" s="2"/>
      <c r="J29" s="2"/>
      <c r="K29" s="2"/>
      <c r="L29" s="2"/>
      <c r="M29" s="2" t="str">
        <f t="shared" si="1"/>
        <v/>
      </c>
      <c r="N29" s="2" t="str">
        <f t="shared" si="2"/>
        <v/>
      </c>
    </row>
    <row r="30" spans="1:14" ht="42" customHeight="1">
      <c r="A30" s="2"/>
      <c r="B30" s="2"/>
      <c r="C30" s="2"/>
      <c r="D30" s="2"/>
      <c r="E30" s="2"/>
      <c r="F30" s="13"/>
      <c r="G30" s="13"/>
      <c r="H30" s="13" t="str">
        <f t="shared" si="0"/>
        <v/>
      </c>
      <c r="I30" s="2"/>
      <c r="J30" s="2"/>
      <c r="K30" s="2"/>
      <c r="L30" s="2"/>
      <c r="M30" s="2" t="str">
        <f t="shared" si="1"/>
        <v/>
      </c>
      <c r="N30" s="2" t="str">
        <f t="shared" si="2"/>
        <v/>
      </c>
    </row>
    <row r="31" spans="1:14" ht="42" customHeight="1">
      <c r="A31" s="2"/>
      <c r="B31" s="2"/>
      <c r="C31" s="2"/>
      <c r="D31" s="2"/>
      <c r="E31" s="2"/>
      <c r="F31" s="13"/>
      <c r="G31" s="13"/>
      <c r="H31" s="13" t="str">
        <f t="shared" si="0"/>
        <v/>
      </c>
      <c r="I31" s="2"/>
      <c r="J31" s="2"/>
      <c r="K31" s="2"/>
      <c r="L31" s="2"/>
      <c r="M31" s="2" t="str">
        <f t="shared" si="1"/>
        <v/>
      </c>
      <c r="N31" s="2" t="str">
        <f t="shared" si="2"/>
        <v/>
      </c>
    </row>
    <row r="32" spans="1:14" ht="42" customHeight="1">
      <c r="A32" s="2"/>
      <c r="B32" s="2"/>
      <c r="C32" s="2"/>
      <c r="D32" s="2"/>
      <c r="E32" s="2"/>
      <c r="F32" s="13"/>
      <c r="G32" s="13"/>
      <c r="H32" s="13" t="str">
        <f t="shared" si="0"/>
        <v/>
      </c>
      <c r="I32" s="2"/>
      <c r="J32" s="2"/>
      <c r="K32" s="2"/>
      <c r="L32" s="2"/>
      <c r="M32" s="2" t="str">
        <f t="shared" si="1"/>
        <v/>
      </c>
      <c r="N32" s="2" t="str">
        <f t="shared" si="2"/>
        <v/>
      </c>
    </row>
    <row r="33" spans="1:14" ht="42" customHeight="1">
      <c r="A33" s="2"/>
      <c r="B33" s="2"/>
      <c r="C33" s="2"/>
      <c r="D33" s="2"/>
      <c r="E33" s="2"/>
      <c r="F33" s="13"/>
      <c r="G33" s="13"/>
      <c r="H33" s="13" t="str">
        <f t="shared" si="0"/>
        <v/>
      </c>
      <c r="I33" s="2"/>
      <c r="J33" s="2"/>
      <c r="K33" s="2"/>
      <c r="L33" s="2"/>
      <c r="M33" s="2" t="str">
        <f t="shared" si="1"/>
        <v/>
      </c>
      <c r="N33" s="2" t="str">
        <f t="shared" si="2"/>
        <v/>
      </c>
    </row>
    <row r="34" spans="1:14" ht="42" customHeight="1">
      <c r="A34" s="2"/>
      <c r="B34" s="2"/>
      <c r="C34" s="2"/>
      <c r="D34" s="2"/>
      <c r="E34" s="2"/>
      <c r="F34" s="13"/>
      <c r="G34" s="13"/>
      <c r="H34" s="13" t="str">
        <f t="shared" si="0"/>
        <v/>
      </c>
      <c r="I34" s="2"/>
      <c r="J34" s="2"/>
      <c r="K34" s="2"/>
      <c r="L34" s="2"/>
      <c r="M34" s="2" t="str">
        <f t="shared" si="1"/>
        <v/>
      </c>
      <c r="N34" s="2" t="str">
        <f t="shared" si="2"/>
        <v/>
      </c>
    </row>
    <row r="35" spans="1:14" ht="42" customHeight="1">
      <c r="A35" s="2"/>
      <c r="B35" s="2"/>
      <c r="C35" s="2"/>
      <c r="D35" s="2"/>
      <c r="E35" s="2"/>
      <c r="F35" s="13"/>
      <c r="G35" s="13"/>
      <c r="H35" s="13" t="str">
        <f t="shared" si="0"/>
        <v/>
      </c>
      <c r="I35" s="2"/>
      <c r="J35" s="2"/>
      <c r="K35" s="2"/>
      <c r="L35" s="2"/>
      <c r="M35" s="2" t="str">
        <f t="shared" si="1"/>
        <v/>
      </c>
      <c r="N35" s="2" t="str">
        <f t="shared" si="2"/>
        <v/>
      </c>
    </row>
    <row r="36" spans="1:14" ht="42" customHeight="1">
      <c r="A36" s="2"/>
      <c r="B36" s="2"/>
      <c r="C36" s="2"/>
      <c r="D36" s="2"/>
      <c r="E36" s="2"/>
      <c r="F36" s="13"/>
      <c r="G36" s="13"/>
      <c r="H36" s="13" t="str">
        <f t="shared" si="0"/>
        <v/>
      </c>
      <c r="I36" s="2"/>
      <c r="J36" s="2"/>
      <c r="K36" s="2"/>
      <c r="L36" s="2"/>
      <c r="M36" s="2" t="str">
        <f t="shared" si="1"/>
        <v/>
      </c>
      <c r="N36" s="2" t="str">
        <f t="shared" si="2"/>
        <v/>
      </c>
    </row>
    <row r="37" spans="1:14" ht="42" customHeight="1">
      <c r="A37" s="2"/>
      <c r="B37" s="2"/>
      <c r="C37" s="2"/>
      <c r="D37" s="2"/>
      <c r="E37" s="2"/>
      <c r="F37" s="13"/>
      <c r="G37" s="13"/>
      <c r="H37" s="13" t="str">
        <f t="shared" ref="H37:H68" si="3">IF(OR(F37="",G37=""),"",F37*G37)</f>
        <v/>
      </c>
      <c r="I37" s="2"/>
      <c r="J37" s="2"/>
      <c r="K37" s="2"/>
      <c r="L37" s="2"/>
      <c r="M37" s="2" t="str">
        <f t="shared" ref="M37:M68" si="4">IF(COUNTA(J37:L37)=0,"",ROUND(((J37*0.4)+(K37*0.3)+(L37*0.3))*20,0))</f>
        <v/>
      </c>
      <c r="N37" s="2" t="str">
        <f t="shared" ref="N37:N68" si="5">IF(A37="","",IF(M37&gt;=80,"Готово",IF(M37&gt;=60,"Нужно дополнить",IF(M37&gt;=40,"Черновик","Отклонить"))))</f>
        <v/>
      </c>
    </row>
    <row r="38" spans="1:14" ht="42" customHeight="1">
      <c r="A38" s="2"/>
      <c r="B38" s="2"/>
      <c r="C38" s="2"/>
      <c r="D38" s="2"/>
      <c r="E38" s="2"/>
      <c r="F38" s="13"/>
      <c r="G38" s="13"/>
      <c r="H38" s="13" t="str">
        <f t="shared" si="3"/>
        <v/>
      </c>
      <c r="I38" s="2"/>
      <c r="J38" s="2"/>
      <c r="K38" s="2"/>
      <c r="L38" s="2"/>
      <c r="M38" s="2" t="str">
        <f t="shared" si="4"/>
        <v/>
      </c>
      <c r="N38" s="2" t="str">
        <f t="shared" si="5"/>
        <v/>
      </c>
    </row>
    <row r="39" spans="1:14" ht="42" customHeight="1">
      <c r="A39" s="2"/>
      <c r="B39" s="2"/>
      <c r="C39" s="2"/>
      <c r="D39" s="2"/>
      <c r="E39" s="2"/>
      <c r="F39" s="13"/>
      <c r="G39" s="13"/>
      <c r="H39" s="13" t="str">
        <f t="shared" si="3"/>
        <v/>
      </c>
      <c r="I39" s="2"/>
      <c r="J39" s="2"/>
      <c r="K39" s="2"/>
      <c r="L39" s="2"/>
      <c r="M39" s="2" t="str">
        <f t="shared" si="4"/>
        <v/>
      </c>
      <c r="N39" s="2" t="str">
        <f t="shared" si="5"/>
        <v/>
      </c>
    </row>
    <row r="40" spans="1:14" ht="42" customHeight="1">
      <c r="A40" s="2"/>
      <c r="B40" s="2"/>
      <c r="C40" s="2"/>
      <c r="D40" s="2"/>
      <c r="E40" s="2"/>
      <c r="F40" s="13"/>
      <c r="G40" s="13"/>
      <c r="H40" s="13" t="str">
        <f t="shared" si="3"/>
        <v/>
      </c>
      <c r="I40" s="2"/>
      <c r="J40" s="2"/>
      <c r="K40" s="2"/>
      <c r="L40" s="2"/>
      <c r="M40" s="2" t="str">
        <f t="shared" si="4"/>
        <v/>
      </c>
      <c r="N40" s="2" t="str">
        <f t="shared" si="5"/>
        <v/>
      </c>
    </row>
    <row r="41" spans="1:14" ht="42" customHeight="1">
      <c r="A41" s="2"/>
      <c r="B41" s="2"/>
      <c r="C41" s="2"/>
      <c r="D41" s="2"/>
      <c r="E41" s="2"/>
      <c r="F41" s="13"/>
      <c r="G41" s="13"/>
      <c r="H41" s="13" t="str">
        <f t="shared" si="3"/>
        <v/>
      </c>
      <c r="I41" s="2"/>
      <c r="J41" s="2"/>
      <c r="K41" s="2"/>
      <c r="L41" s="2"/>
      <c r="M41" s="2" t="str">
        <f t="shared" si="4"/>
        <v/>
      </c>
      <c r="N41" s="2" t="str">
        <f t="shared" si="5"/>
        <v/>
      </c>
    </row>
    <row r="42" spans="1:14" ht="42" customHeight="1">
      <c r="A42" s="2"/>
      <c r="B42" s="2"/>
      <c r="C42" s="2"/>
      <c r="D42" s="2"/>
      <c r="E42" s="2"/>
      <c r="F42" s="13"/>
      <c r="G42" s="13"/>
      <c r="H42" s="13" t="str">
        <f t="shared" si="3"/>
        <v/>
      </c>
      <c r="I42" s="2"/>
      <c r="J42" s="2"/>
      <c r="K42" s="2"/>
      <c r="L42" s="2"/>
      <c r="M42" s="2" t="str">
        <f t="shared" si="4"/>
        <v/>
      </c>
      <c r="N42" s="2" t="str">
        <f t="shared" si="5"/>
        <v/>
      </c>
    </row>
    <row r="43" spans="1:14" ht="42" customHeight="1">
      <c r="A43" s="2"/>
      <c r="B43" s="2"/>
      <c r="C43" s="2"/>
      <c r="D43" s="2"/>
      <c r="E43" s="2"/>
      <c r="F43" s="13"/>
      <c r="G43" s="13"/>
      <c r="H43" s="13" t="str">
        <f t="shared" si="3"/>
        <v/>
      </c>
      <c r="I43" s="2"/>
      <c r="J43" s="2"/>
      <c r="K43" s="2"/>
      <c r="L43" s="2"/>
      <c r="M43" s="2" t="str">
        <f t="shared" si="4"/>
        <v/>
      </c>
      <c r="N43" s="2" t="str">
        <f t="shared" si="5"/>
        <v/>
      </c>
    </row>
    <row r="44" spans="1:14" ht="42" customHeight="1">
      <c r="A44" s="2"/>
      <c r="B44" s="2"/>
      <c r="C44" s="2"/>
      <c r="D44" s="2"/>
      <c r="E44" s="2"/>
      <c r="F44" s="13"/>
      <c r="G44" s="13"/>
      <c r="H44" s="13" t="str">
        <f t="shared" si="3"/>
        <v/>
      </c>
      <c r="I44" s="2"/>
      <c r="J44" s="2"/>
      <c r="K44" s="2"/>
      <c r="L44" s="2"/>
      <c r="M44" s="2" t="str">
        <f t="shared" si="4"/>
        <v/>
      </c>
      <c r="N44" s="2" t="str">
        <f t="shared" si="5"/>
        <v/>
      </c>
    </row>
    <row r="45" spans="1:14" ht="42" customHeight="1">
      <c r="A45" s="2"/>
      <c r="B45" s="2"/>
      <c r="C45" s="2"/>
      <c r="D45" s="2"/>
      <c r="E45" s="2"/>
      <c r="F45" s="13"/>
      <c r="G45" s="13"/>
      <c r="H45" s="13" t="str">
        <f t="shared" si="3"/>
        <v/>
      </c>
      <c r="I45" s="2"/>
      <c r="J45" s="2"/>
      <c r="K45" s="2"/>
      <c r="L45" s="2"/>
      <c r="M45" s="2" t="str">
        <f t="shared" si="4"/>
        <v/>
      </c>
      <c r="N45" s="2" t="str">
        <f t="shared" si="5"/>
        <v/>
      </c>
    </row>
    <row r="46" spans="1:14" ht="42" customHeight="1">
      <c r="A46" s="2"/>
      <c r="B46" s="2"/>
      <c r="C46" s="2"/>
      <c r="D46" s="2"/>
      <c r="E46" s="2"/>
      <c r="F46" s="13"/>
      <c r="G46" s="13"/>
      <c r="H46" s="13" t="str">
        <f t="shared" si="3"/>
        <v/>
      </c>
      <c r="I46" s="2"/>
      <c r="J46" s="2"/>
      <c r="K46" s="2"/>
      <c r="L46" s="2"/>
      <c r="M46" s="2" t="str">
        <f t="shared" si="4"/>
        <v/>
      </c>
      <c r="N46" s="2" t="str">
        <f t="shared" si="5"/>
        <v/>
      </c>
    </row>
    <row r="47" spans="1:14" ht="42" customHeight="1">
      <c r="A47" s="2"/>
      <c r="B47" s="2"/>
      <c r="C47" s="2"/>
      <c r="D47" s="2"/>
      <c r="E47" s="2"/>
      <c r="F47" s="13"/>
      <c r="G47" s="13"/>
      <c r="H47" s="13" t="str">
        <f t="shared" si="3"/>
        <v/>
      </c>
      <c r="I47" s="2"/>
      <c r="J47" s="2"/>
      <c r="K47" s="2"/>
      <c r="L47" s="2"/>
      <c r="M47" s="2" t="str">
        <f t="shared" si="4"/>
        <v/>
      </c>
      <c r="N47" s="2" t="str">
        <f t="shared" si="5"/>
        <v/>
      </c>
    </row>
    <row r="48" spans="1:14" ht="42" customHeight="1">
      <c r="A48" s="2"/>
      <c r="B48" s="2"/>
      <c r="C48" s="2"/>
      <c r="D48" s="2"/>
      <c r="E48" s="2"/>
      <c r="F48" s="13"/>
      <c r="G48" s="13"/>
      <c r="H48" s="13" t="str">
        <f t="shared" si="3"/>
        <v/>
      </c>
      <c r="I48" s="2"/>
      <c r="J48" s="2"/>
      <c r="K48" s="2"/>
      <c r="L48" s="2"/>
      <c r="M48" s="2" t="str">
        <f t="shared" si="4"/>
        <v/>
      </c>
      <c r="N48" s="2" t="str">
        <f t="shared" si="5"/>
        <v/>
      </c>
    </row>
    <row r="49" spans="1:14" ht="42" customHeight="1">
      <c r="A49" s="2"/>
      <c r="B49" s="2"/>
      <c r="C49" s="2"/>
      <c r="D49" s="2"/>
      <c r="E49" s="2"/>
      <c r="F49" s="13"/>
      <c r="G49" s="13"/>
      <c r="H49" s="13" t="str">
        <f t="shared" si="3"/>
        <v/>
      </c>
      <c r="I49" s="2"/>
      <c r="J49" s="2"/>
      <c r="K49" s="2"/>
      <c r="L49" s="2"/>
      <c r="M49" s="2" t="str">
        <f t="shared" si="4"/>
        <v/>
      </c>
      <c r="N49" s="2" t="str">
        <f t="shared" si="5"/>
        <v/>
      </c>
    </row>
    <row r="50" spans="1:14" ht="42" customHeight="1">
      <c r="A50" s="2"/>
      <c r="B50" s="2"/>
      <c r="C50" s="2"/>
      <c r="D50" s="2"/>
      <c r="E50" s="2"/>
      <c r="F50" s="13"/>
      <c r="G50" s="13"/>
      <c r="H50" s="13" t="str">
        <f t="shared" si="3"/>
        <v/>
      </c>
      <c r="I50" s="2"/>
      <c r="J50" s="2"/>
      <c r="K50" s="2"/>
      <c r="L50" s="2"/>
      <c r="M50" s="2" t="str">
        <f t="shared" si="4"/>
        <v/>
      </c>
      <c r="N50" s="2" t="str">
        <f t="shared" si="5"/>
        <v/>
      </c>
    </row>
    <row r="51" spans="1:14" ht="42" customHeight="1">
      <c r="A51" s="2"/>
      <c r="B51" s="2"/>
      <c r="C51" s="2"/>
      <c r="D51" s="2"/>
      <c r="E51" s="2"/>
      <c r="F51" s="13"/>
      <c r="G51" s="13"/>
      <c r="H51" s="13" t="str">
        <f t="shared" si="3"/>
        <v/>
      </c>
      <c r="I51" s="2"/>
      <c r="J51" s="2"/>
      <c r="K51" s="2"/>
      <c r="L51" s="2"/>
      <c r="M51" s="2" t="str">
        <f t="shared" si="4"/>
        <v/>
      </c>
      <c r="N51" s="2" t="str">
        <f t="shared" si="5"/>
        <v/>
      </c>
    </row>
    <row r="52" spans="1:14" ht="42" customHeight="1">
      <c r="A52" s="2"/>
      <c r="B52" s="2"/>
      <c r="C52" s="2"/>
      <c r="D52" s="2"/>
      <c r="E52" s="2"/>
      <c r="F52" s="13"/>
      <c r="G52" s="13"/>
      <c r="H52" s="13" t="str">
        <f t="shared" si="3"/>
        <v/>
      </c>
      <c r="I52" s="2"/>
      <c r="J52" s="2"/>
      <c r="K52" s="2"/>
      <c r="L52" s="2"/>
      <c r="M52" s="2" t="str">
        <f t="shared" si="4"/>
        <v/>
      </c>
      <c r="N52" s="2" t="str">
        <f t="shared" si="5"/>
        <v/>
      </c>
    </row>
    <row r="53" spans="1:14" ht="42" customHeight="1">
      <c r="A53" s="2"/>
      <c r="B53" s="2"/>
      <c r="C53" s="2"/>
      <c r="D53" s="2"/>
      <c r="E53" s="2"/>
      <c r="F53" s="13"/>
      <c r="G53" s="13"/>
      <c r="H53" s="13" t="str">
        <f t="shared" si="3"/>
        <v/>
      </c>
      <c r="I53" s="2"/>
      <c r="J53" s="2"/>
      <c r="K53" s="2"/>
      <c r="L53" s="2"/>
      <c r="M53" s="2" t="str">
        <f t="shared" si="4"/>
        <v/>
      </c>
      <c r="N53" s="2" t="str">
        <f t="shared" si="5"/>
        <v/>
      </c>
    </row>
    <row r="54" spans="1:14" ht="42" customHeight="1">
      <c r="A54" s="2"/>
      <c r="B54" s="2"/>
      <c r="C54" s="2"/>
      <c r="D54" s="2"/>
      <c r="E54" s="2"/>
      <c r="F54" s="13"/>
      <c r="G54" s="13"/>
      <c r="H54" s="13" t="str">
        <f t="shared" si="3"/>
        <v/>
      </c>
      <c r="I54" s="2"/>
      <c r="J54" s="2"/>
      <c r="K54" s="2"/>
      <c r="L54" s="2"/>
      <c r="M54" s="2" t="str">
        <f t="shared" si="4"/>
        <v/>
      </c>
      <c r="N54" s="2" t="str">
        <f t="shared" si="5"/>
        <v/>
      </c>
    </row>
    <row r="55" spans="1:14" ht="42" customHeight="1">
      <c r="A55" s="2"/>
      <c r="B55" s="2"/>
      <c r="C55" s="2"/>
      <c r="D55" s="2"/>
      <c r="E55" s="2"/>
      <c r="F55" s="13"/>
      <c r="G55" s="13"/>
      <c r="H55" s="13" t="str">
        <f t="shared" si="3"/>
        <v/>
      </c>
      <c r="I55" s="2"/>
      <c r="J55" s="2"/>
      <c r="K55" s="2"/>
      <c r="L55" s="2"/>
      <c r="M55" s="2" t="str">
        <f t="shared" si="4"/>
        <v/>
      </c>
      <c r="N55" s="2" t="str">
        <f t="shared" si="5"/>
        <v/>
      </c>
    </row>
    <row r="56" spans="1:14" ht="42" customHeight="1">
      <c r="A56" s="2"/>
      <c r="B56" s="2"/>
      <c r="C56" s="2"/>
      <c r="D56" s="2"/>
      <c r="E56" s="2"/>
      <c r="F56" s="13"/>
      <c r="G56" s="13"/>
      <c r="H56" s="13" t="str">
        <f t="shared" si="3"/>
        <v/>
      </c>
      <c r="I56" s="2"/>
      <c r="J56" s="2"/>
      <c r="K56" s="2"/>
      <c r="L56" s="2"/>
      <c r="M56" s="2" t="str">
        <f t="shared" si="4"/>
        <v/>
      </c>
      <c r="N56" s="2" t="str">
        <f t="shared" si="5"/>
        <v/>
      </c>
    </row>
    <row r="57" spans="1:14" ht="42" customHeight="1">
      <c r="A57" s="2"/>
      <c r="B57" s="2"/>
      <c r="C57" s="2"/>
      <c r="D57" s="2"/>
      <c r="E57" s="2"/>
      <c r="F57" s="13"/>
      <c r="G57" s="13"/>
      <c r="H57" s="13" t="str">
        <f t="shared" si="3"/>
        <v/>
      </c>
      <c r="I57" s="2"/>
      <c r="J57" s="2"/>
      <c r="K57" s="2"/>
      <c r="L57" s="2"/>
      <c r="M57" s="2" t="str">
        <f t="shared" si="4"/>
        <v/>
      </c>
      <c r="N57" s="2" t="str">
        <f t="shared" si="5"/>
        <v/>
      </c>
    </row>
    <row r="58" spans="1:14" ht="42" customHeight="1">
      <c r="A58" s="2"/>
      <c r="B58" s="2"/>
      <c r="C58" s="2"/>
      <c r="D58" s="2"/>
      <c r="E58" s="2"/>
      <c r="F58" s="13"/>
      <c r="G58" s="13"/>
      <c r="H58" s="13" t="str">
        <f t="shared" si="3"/>
        <v/>
      </c>
      <c r="I58" s="2"/>
      <c r="J58" s="2"/>
      <c r="K58" s="2"/>
      <c r="L58" s="2"/>
      <c r="M58" s="2" t="str">
        <f t="shared" si="4"/>
        <v/>
      </c>
      <c r="N58" s="2" t="str">
        <f t="shared" si="5"/>
        <v/>
      </c>
    </row>
    <row r="59" spans="1:14" ht="42" customHeight="1">
      <c r="A59" s="2"/>
      <c r="B59" s="2"/>
      <c r="C59" s="2"/>
      <c r="D59" s="2"/>
      <c r="E59" s="2"/>
      <c r="F59" s="13"/>
      <c r="G59" s="13"/>
      <c r="H59" s="13" t="str">
        <f t="shared" si="3"/>
        <v/>
      </c>
      <c r="I59" s="2"/>
      <c r="J59" s="2"/>
      <c r="K59" s="2"/>
      <c r="L59" s="2"/>
      <c r="M59" s="2" t="str">
        <f t="shared" si="4"/>
        <v/>
      </c>
      <c r="N59" s="2" t="str">
        <f t="shared" si="5"/>
        <v/>
      </c>
    </row>
    <row r="60" spans="1:14" ht="42" customHeight="1">
      <c r="A60" s="2"/>
      <c r="B60" s="2"/>
      <c r="C60" s="2"/>
      <c r="D60" s="2"/>
      <c r="E60" s="2"/>
      <c r="F60" s="13"/>
      <c r="G60" s="13"/>
      <c r="H60" s="13" t="str">
        <f t="shared" si="3"/>
        <v/>
      </c>
      <c r="I60" s="2"/>
      <c r="J60" s="2"/>
      <c r="K60" s="2"/>
      <c r="L60" s="2"/>
      <c r="M60" s="2" t="str">
        <f t="shared" si="4"/>
        <v/>
      </c>
      <c r="N60" s="2" t="str">
        <f t="shared" si="5"/>
        <v/>
      </c>
    </row>
    <row r="61" spans="1:14" ht="42" customHeight="1">
      <c r="A61" s="2"/>
      <c r="B61" s="2"/>
      <c r="C61" s="2"/>
      <c r="D61" s="2"/>
      <c r="E61" s="2"/>
      <c r="F61" s="13"/>
      <c r="G61" s="13"/>
      <c r="H61" s="13" t="str">
        <f t="shared" si="3"/>
        <v/>
      </c>
      <c r="I61" s="2"/>
      <c r="J61" s="2"/>
      <c r="K61" s="2"/>
      <c r="L61" s="2"/>
      <c r="M61" s="2" t="str">
        <f t="shared" si="4"/>
        <v/>
      </c>
      <c r="N61" s="2" t="str">
        <f t="shared" si="5"/>
        <v/>
      </c>
    </row>
    <row r="62" spans="1:14" ht="42" customHeight="1">
      <c r="A62" s="2"/>
      <c r="B62" s="2"/>
      <c r="C62" s="2"/>
      <c r="D62" s="2"/>
      <c r="E62" s="2"/>
      <c r="F62" s="13"/>
      <c r="G62" s="13"/>
      <c r="H62" s="13" t="str">
        <f t="shared" si="3"/>
        <v/>
      </c>
      <c r="I62" s="2"/>
      <c r="J62" s="2"/>
      <c r="K62" s="2"/>
      <c r="L62" s="2"/>
      <c r="M62" s="2" t="str">
        <f t="shared" si="4"/>
        <v/>
      </c>
      <c r="N62" s="2" t="str">
        <f t="shared" si="5"/>
        <v/>
      </c>
    </row>
    <row r="63" spans="1:14" ht="42" customHeight="1">
      <c r="A63" s="2"/>
      <c r="B63" s="2"/>
      <c r="C63" s="2"/>
      <c r="D63" s="2"/>
      <c r="E63" s="2"/>
      <c r="F63" s="13"/>
      <c r="G63" s="13"/>
      <c r="H63" s="13" t="str">
        <f t="shared" si="3"/>
        <v/>
      </c>
      <c r="I63" s="2"/>
      <c r="J63" s="2"/>
      <c r="K63" s="2"/>
      <c r="L63" s="2"/>
      <c r="M63" s="2" t="str">
        <f t="shared" si="4"/>
        <v/>
      </c>
      <c r="N63" s="2" t="str">
        <f t="shared" si="5"/>
        <v/>
      </c>
    </row>
    <row r="64" spans="1:14" ht="42" customHeight="1">
      <c r="A64" s="2"/>
      <c r="B64" s="2"/>
      <c r="C64" s="2"/>
      <c r="D64" s="2"/>
      <c r="E64" s="2"/>
      <c r="F64" s="13"/>
      <c r="G64" s="13"/>
      <c r="H64" s="13" t="str">
        <f t="shared" si="3"/>
        <v/>
      </c>
      <c r="I64" s="2"/>
      <c r="J64" s="2"/>
      <c r="K64" s="2"/>
      <c r="L64" s="2"/>
      <c r="M64" s="2" t="str">
        <f t="shared" si="4"/>
        <v/>
      </c>
      <c r="N64" s="2" t="str">
        <f t="shared" si="5"/>
        <v/>
      </c>
    </row>
    <row r="65" spans="1:14" ht="42" customHeight="1">
      <c r="A65" s="2"/>
      <c r="B65" s="2"/>
      <c r="C65" s="2"/>
      <c r="D65" s="2"/>
      <c r="E65" s="2"/>
      <c r="F65" s="13"/>
      <c r="G65" s="13"/>
      <c r="H65" s="13" t="str">
        <f t="shared" si="3"/>
        <v/>
      </c>
      <c r="I65" s="2"/>
      <c r="J65" s="2"/>
      <c r="K65" s="2"/>
      <c r="L65" s="2"/>
      <c r="M65" s="2" t="str">
        <f t="shared" si="4"/>
        <v/>
      </c>
      <c r="N65" s="2" t="str">
        <f t="shared" si="5"/>
        <v/>
      </c>
    </row>
    <row r="66" spans="1:14" ht="42" customHeight="1">
      <c r="A66" s="2"/>
      <c r="B66" s="2"/>
      <c r="C66" s="2"/>
      <c r="D66" s="2"/>
      <c r="E66" s="2"/>
      <c r="F66" s="13"/>
      <c r="G66" s="13"/>
      <c r="H66" s="13" t="str">
        <f t="shared" si="3"/>
        <v/>
      </c>
      <c r="I66" s="2"/>
      <c r="J66" s="2"/>
      <c r="K66" s="2"/>
      <c r="L66" s="2"/>
      <c r="M66" s="2" t="str">
        <f t="shared" si="4"/>
        <v/>
      </c>
      <c r="N66" s="2" t="str">
        <f t="shared" si="5"/>
        <v/>
      </c>
    </row>
    <row r="67" spans="1:14" ht="42" customHeight="1">
      <c r="A67" s="2"/>
      <c r="B67" s="2"/>
      <c r="C67" s="2"/>
      <c r="D67" s="2"/>
      <c r="E67" s="2"/>
      <c r="F67" s="13"/>
      <c r="G67" s="13"/>
      <c r="H67" s="13" t="str">
        <f t="shared" si="3"/>
        <v/>
      </c>
      <c r="I67" s="2"/>
      <c r="J67" s="2"/>
      <c r="K67" s="2"/>
      <c r="L67" s="2"/>
      <c r="M67" s="2" t="str">
        <f t="shared" si="4"/>
        <v/>
      </c>
      <c r="N67" s="2" t="str">
        <f t="shared" si="5"/>
        <v/>
      </c>
    </row>
    <row r="68" spans="1:14" ht="42" customHeight="1">
      <c r="A68" s="2"/>
      <c r="B68" s="2"/>
      <c r="C68" s="2"/>
      <c r="D68" s="2"/>
      <c r="E68" s="2"/>
      <c r="F68" s="13"/>
      <c r="G68" s="13"/>
      <c r="H68" s="13" t="str">
        <f t="shared" si="3"/>
        <v/>
      </c>
      <c r="I68" s="2"/>
      <c r="J68" s="2"/>
      <c r="K68" s="2"/>
      <c r="L68" s="2"/>
      <c r="M68" s="2" t="str">
        <f t="shared" si="4"/>
        <v/>
      </c>
      <c r="N68" s="2" t="str">
        <f t="shared" si="5"/>
        <v/>
      </c>
    </row>
    <row r="69" spans="1:14" ht="42" customHeight="1">
      <c r="A69" s="2"/>
      <c r="B69" s="2"/>
      <c r="C69" s="2"/>
      <c r="D69" s="2"/>
      <c r="E69" s="2"/>
      <c r="F69" s="13"/>
      <c r="G69" s="13"/>
      <c r="H69" s="13" t="str">
        <f t="shared" ref="H69:H100" si="6">IF(OR(F69="",G69=""),"",F69*G69)</f>
        <v/>
      </c>
      <c r="I69" s="2"/>
      <c r="J69" s="2"/>
      <c r="K69" s="2"/>
      <c r="L69" s="2"/>
      <c r="M69" s="2" t="str">
        <f t="shared" ref="M69:M100" si="7">IF(COUNTA(J69:L69)=0,"",ROUND(((J69*0.4)+(K69*0.3)+(L69*0.3))*20,0))</f>
        <v/>
      </c>
      <c r="N69" s="2" t="str">
        <f t="shared" ref="N69:N100" si="8">IF(A69="","",IF(M69&gt;=80,"Готово",IF(M69&gt;=60,"Нужно дополнить",IF(M69&gt;=40,"Черновик","Отклонить"))))</f>
        <v/>
      </c>
    </row>
    <row r="70" spans="1:14" ht="42" customHeight="1">
      <c r="A70" s="2"/>
      <c r="B70" s="2"/>
      <c r="C70" s="2"/>
      <c r="D70" s="2"/>
      <c r="E70" s="2"/>
      <c r="F70" s="13"/>
      <c r="G70" s="13"/>
      <c r="H70" s="13" t="str">
        <f t="shared" si="6"/>
        <v/>
      </c>
      <c r="I70" s="2"/>
      <c r="J70" s="2"/>
      <c r="K70" s="2"/>
      <c r="L70" s="2"/>
      <c r="M70" s="2" t="str">
        <f t="shared" si="7"/>
        <v/>
      </c>
      <c r="N70" s="2" t="str">
        <f t="shared" si="8"/>
        <v/>
      </c>
    </row>
    <row r="71" spans="1:14" ht="42" customHeight="1">
      <c r="A71" s="2"/>
      <c r="B71" s="2"/>
      <c r="C71" s="2"/>
      <c r="D71" s="2"/>
      <c r="E71" s="2"/>
      <c r="F71" s="13"/>
      <c r="G71" s="13"/>
      <c r="H71" s="13" t="str">
        <f t="shared" si="6"/>
        <v/>
      </c>
      <c r="I71" s="2"/>
      <c r="J71" s="2"/>
      <c r="K71" s="2"/>
      <c r="L71" s="2"/>
      <c r="M71" s="2" t="str">
        <f t="shared" si="7"/>
        <v/>
      </c>
      <c r="N71" s="2" t="str">
        <f t="shared" si="8"/>
        <v/>
      </c>
    </row>
    <row r="72" spans="1:14" ht="42" customHeight="1">
      <c r="A72" s="2"/>
      <c r="B72" s="2"/>
      <c r="C72" s="2"/>
      <c r="D72" s="2"/>
      <c r="E72" s="2"/>
      <c r="F72" s="13"/>
      <c r="G72" s="13"/>
      <c r="H72" s="13" t="str">
        <f t="shared" si="6"/>
        <v/>
      </c>
      <c r="I72" s="2"/>
      <c r="J72" s="2"/>
      <c r="K72" s="2"/>
      <c r="L72" s="2"/>
      <c r="M72" s="2" t="str">
        <f t="shared" si="7"/>
        <v/>
      </c>
      <c r="N72" s="2" t="str">
        <f t="shared" si="8"/>
        <v/>
      </c>
    </row>
    <row r="73" spans="1:14" ht="42" customHeight="1">
      <c r="A73" s="2"/>
      <c r="B73" s="2"/>
      <c r="C73" s="2"/>
      <c r="D73" s="2"/>
      <c r="E73" s="2"/>
      <c r="F73" s="13"/>
      <c r="G73" s="13"/>
      <c r="H73" s="13" t="str">
        <f t="shared" si="6"/>
        <v/>
      </c>
      <c r="I73" s="2"/>
      <c r="J73" s="2"/>
      <c r="K73" s="2"/>
      <c r="L73" s="2"/>
      <c r="M73" s="2" t="str">
        <f t="shared" si="7"/>
        <v/>
      </c>
      <c r="N73" s="2" t="str">
        <f t="shared" si="8"/>
        <v/>
      </c>
    </row>
    <row r="74" spans="1:14" ht="42" customHeight="1">
      <c r="A74" s="2"/>
      <c r="B74" s="2"/>
      <c r="C74" s="2"/>
      <c r="D74" s="2"/>
      <c r="E74" s="2"/>
      <c r="F74" s="13"/>
      <c r="G74" s="13"/>
      <c r="H74" s="13" t="str">
        <f t="shared" si="6"/>
        <v/>
      </c>
      <c r="I74" s="2"/>
      <c r="J74" s="2"/>
      <c r="K74" s="2"/>
      <c r="L74" s="2"/>
      <c r="M74" s="2" t="str">
        <f t="shared" si="7"/>
        <v/>
      </c>
      <c r="N74" s="2" t="str">
        <f t="shared" si="8"/>
        <v/>
      </c>
    </row>
    <row r="75" spans="1:14" ht="42" customHeight="1">
      <c r="A75" s="2"/>
      <c r="B75" s="2"/>
      <c r="C75" s="2"/>
      <c r="D75" s="2"/>
      <c r="E75" s="2"/>
      <c r="F75" s="13"/>
      <c r="G75" s="13"/>
      <c r="H75" s="13" t="str">
        <f t="shared" si="6"/>
        <v/>
      </c>
      <c r="I75" s="2"/>
      <c r="J75" s="2"/>
      <c r="K75" s="2"/>
      <c r="L75" s="2"/>
      <c r="M75" s="2" t="str">
        <f t="shared" si="7"/>
        <v/>
      </c>
      <c r="N75" s="2" t="str">
        <f t="shared" si="8"/>
        <v/>
      </c>
    </row>
    <row r="76" spans="1:14" ht="42" customHeight="1">
      <c r="A76" s="2"/>
      <c r="B76" s="2"/>
      <c r="C76" s="2"/>
      <c r="D76" s="2"/>
      <c r="E76" s="2"/>
      <c r="F76" s="13"/>
      <c r="G76" s="13"/>
      <c r="H76" s="13" t="str">
        <f t="shared" si="6"/>
        <v/>
      </c>
      <c r="I76" s="2"/>
      <c r="J76" s="2"/>
      <c r="K76" s="2"/>
      <c r="L76" s="2"/>
      <c r="M76" s="2" t="str">
        <f t="shared" si="7"/>
        <v/>
      </c>
      <c r="N76" s="2" t="str">
        <f t="shared" si="8"/>
        <v/>
      </c>
    </row>
    <row r="77" spans="1:14" ht="42" customHeight="1">
      <c r="A77" s="2"/>
      <c r="B77" s="2"/>
      <c r="C77" s="2"/>
      <c r="D77" s="2"/>
      <c r="E77" s="2"/>
      <c r="F77" s="13"/>
      <c r="G77" s="13"/>
      <c r="H77" s="13" t="str">
        <f t="shared" si="6"/>
        <v/>
      </c>
      <c r="I77" s="2"/>
      <c r="J77" s="2"/>
      <c r="K77" s="2"/>
      <c r="L77" s="2"/>
      <c r="M77" s="2" t="str">
        <f t="shared" si="7"/>
        <v/>
      </c>
      <c r="N77" s="2" t="str">
        <f t="shared" si="8"/>
        <v/>
      </c>
    </row>
    <row r="78" spans="1:14" ht="42" customHeight="1">
      <c r="A78" s="2"/>
      <c r="B78" s="2"/>
      <c r="C78" s="2"/>
      <c r="D78" s="2"/>
      <c r="E78" s="2"/>
      <c r="F78" s="13"/>
      <c r="G78" s="13"/>
      <c r="H78" s="13" t="str">
        <f t="shared" si="6"/>
        <v/>
      </c>
      <c r="I78" s="2"/>
      <c r="J78" s="2"/>
      <c r="K78" s="2"/>
      <c r="L78" s="2"/>
      <c r="M78" s="2" t="str">
        <f t="shared" si="7"/>
        <v/>
      </c>
      <c r="N78" s="2" t="str">
        <f t="shared" si="8"/>
        <v/>
      </c>
    </row>
    <row r="79" spans="1:14" ht="42" customHeight="1">
      <c r="A79" s="2"/>
      <c r="B79" s="2"/>
      <c r="C79" s="2"/>
      <c r="D79" s="2"/>
      <c r="E79" s="2"/>
      <c r="F79" s="13"/>
      <c r="G79" s="13"/>
      <c r="H79" s="13" t="str">
        <f t="shared" si="6"/>
        <v/>
      </c>
      <c r="I79" s="2"/>
      <c r="J79" s="2"/>
      <c r="K79" s="2"/>
      <c r="L79" s="2"/>
      <c r="M79" s="2" t="str">
        <f t="shared" si="7"/>
        <v/>
      </c>
      <c r="N79" s="2" t="str">
        <f t="shared" si="8"/>
        <v/>
      </c>
    </row>
    <row r="80" spans="1:14" ht="42" customHeight="1">
      <c r="A80" s="2"/>
      <c r="B80" s="2"/>
      <c r="C80" s="2"/>
      <c r="D80" s="2"/>
      <c r="E80" s="2"/>
      <c r="F80" s="13"/>
      <c r="G80" s="13"/>
      <c r="H80" s="13" t="str">
        <f t="shared" si="6"/>
        <v/>
      </c>
      <c r="I80" s="2"/>
      <c r="J80" s="2"/>
      <c r="K80" s="2"/>
      <c r="L80" s="2"/>
      <c r="M80" s="2" t="str">
        <f t="shared" si="7"/>
        <v/>
      </c>
      <c r="N80" s="2" t="str">
        <f t="shared" si="8"/>
        <v/>
      </c>
    </row>
    <row r="81" spans="1:14" ht="42" customHeight="1">
      <c r="A81" s="2"/>
      <c r="B81" s="2"/>
      <c r="C81" s="2"/>
      <c r="D81" s="2"/>
      <c r="E81" s="2"/>
      <c r="F81" s="13"/>
      <c r="G81" s="13"/>
      <c r="H81" s="13" t="str">
        <f t="shared" si="6"/>
        <v/>
      </c>
      <c r="I81" s="2"/>
      <c r="J81" s="2"/>
      <c r="K81" s="2"/>
      <c r="L81" s="2"/>
      <c r="M81" s="2" t="str">
        <f t="shared" si="7"/>
        <v/>
      </c>
      <c r="N81" s="2" t="str">
        <f t="shared" si="8"/>
        <v/>
      </c>
    </row>
    <row r="82" spans="1:14" ht="42" customHeight="1">
      <c r="A82" s="2"/>
      <c r="B82" s="2"/>
      <c r="C82" s="2"/>
      <c r="D82" s="2"/>
      <c r="E82" s="2"/>
      <c r="F82" s="13"/>
      <c r="G82" s="13"/>
      <c r="H82" s="13" t="str">
        <f t="shared" si="6"/>
        <v/>
      </c>
      <c r="I82" s="2"/>
      <c r="J82" s="2"/>
      <c r="K82" s="2"/>
      <c r="L82" s="2"/>
      <c r="M82" s="2" t="str">
        <f t="shared" si="7"/>
        <v/>
      </c>
      <c r="N82" s="2" t="str">
        <f t="shared" si="8"/>
        <v/>
      </c>
    </row>
    <row r="83" spans="1:14" ht="42" customHeight="1">
      <c r="A83" s="2"/>
      <c r="B83" s="2"/>
      <c r="C83" s="2"/>
      <c r="D83" s="2"/>
      <c r="E83" s="2"/>
      <c r="F83" s="13"/>
      <c r="G83" s="13"/>
      <c r="H83" s="13" t="str">
        <f t="shared" si="6"/>
        <v/>
      </c>
      <c r="I83" s="2"/>
      <c r="J83" s="2"/>
      <c r="K83" s="2"/>
      <c r="L83" s="2"/>
      <c r="M83" s="2" t="str">
        <f t="shared" si="7"/>
        <v/>
      </c>
      <c r="N83" s="2" t="str">
        <f t="shared" si="8"/>
        <v/>
      </c>
    </row>
    <row r="84" spans="1:14" ht="42" customHeight="1">
      <c r="A84" s="2"/>
      <c r="B84" s="2"/>
      <c r="C84" s="2"/>
      <c r="D84" s="2"/>
      <c r="E84" s="2"/>
      <c r="F84" s="13"/>
      <c r="G84" s="13"/>
      <c r="H84" s="13" t="str">
        <f t="shared" si="6"/>
        <v/>
      </c>
      <c r="I84" s="2"/>
      <c r="J84" s="2"/>
      <c r="K84" s="2"/>
      <c r="L84" s="2"/>
      <c r="M84" s="2" t="str">
        <f t="shared" si="7"/>
        <v/>
      </c>
      <c r="N84" s="2" t="str">
        <f t="shared" si="8"/>
        <v/>
      </c>
    </row>
    <row r="85" spans="1:14" ht="42" customHeight="1">
      <c r="A85" s="2"/>
      <c r="B85" s="2"/>
      <c r="C85" s="2"/>
      <c r="D85" s="2"/>
      <c r="E85" s="2"/>
      <c r="F85" s="13"/>
      <c r="G85" s="13"/>
      <c r="H85" s="13" t="str">
        <f t="shared" si="6"/>
        <v/>
      </c>
      <c r="I85" s="2"/>
      <c r="J85" s="2"/>
      <c r="K85" s="2"/>
      <c r="L85" s="2"/>
      <c r="M85" s="2" t="str">
        <f t="shared" si="7"/>
        <v/>
      </c>
      <c r="N85" s="2" t="str">
        <f t="shared" si="8"/>
        <v/>
      </c>
    </row>
    <row r="86" spans="1:14" ht="42" customHeight="1">
      <c r="A86" s="2"/>
      <c r="B86" s="2"/>
      <c r="C86" s="2"/>
      <c r="D86" s="2"/>
      <c r="E86" s="2"/>
      <c r="F86" s="13"/>
      <c r="G86" s="13"/>
      <c r="H86" s="13" t="str">
        <f t="shared" si="6"/>
        <v/>
      </c>
      <c r="I86" s="2"/>
      <c r="J86" s="2"/>
      <c r="K86" s="2"/>
      <c r="L86" s="2"/>
      <c r="M86" s="2" t="str">
        <f t="shared" si="7"/>
        <v/>
      </c>
      <c r="N86" s="2" t="str">
        <f t="shared" si="8"/>
        <v/>
      </c>
    </row>
    <row r="87" spans="1:14" ht="42" customHeight="1">
      <c r="A87" s="2"/>
      <c r="B87" s="2"/>
      <c r="C87" s="2"/>
      <c r="D87" s="2"/>
      <c r="E87" s="2"/>
      <c r="F87" s="13"/>
      <c r="G87" s="13"/>
      <c r="H87" s="13" t="str">
        <f t="shared" si="6"/>
        <v/>
      </c>
      <c r="I87" s="2"/>
      <c r="J87" s="2"/>
      <c r="K87" s="2"/>
      <c r="L87" s="2"/>
      <c r="M87" s="2" t="str">
        <f t="shared" si="7"/>
        <v/>
      </c>
      <c r="N87" s="2" t="str">
        <f t="shared" si="8"/>
        <v/>
      </c>
    </row>
    <row r="88" spans="1:14" ht="42" customHeight="1">
      <c r="A88" s="2"/>
      <c r="B88" s="2"/>
      <c r="C88" s="2"/>
      <c r="D88" s="2"/>
      <c r="E88" s="2"/>
      <c r="F88" s="13"/>
      <c r="G88" s="13"/>
      <c r="H88" s="13" t="str">
        <f t="shared" si="6"/>
        <v/>
      </c>
      <c r="I88" s="2"/>
      <c r="J88" s="2"/>
      <c r="K88" s="2"/>
      <c r="L88" s="2"/>
      <c r="M88" s="2" t="str">
        <f t="shared" si="7"/>
        <v/>
      </c>
      <c r="N88" s="2" t="str">
        <f t="shared" si="8"/>
        <v/>
      </c>
    </row>
    <row r="89" spans="1:14" ht="42" customHeight="1">
      <c r="A89" s="2"/>
      <c r="B89" s="2"/>
      <c r="C89" s="2"/>
      <c r="D89" s="2"/>
      <c r="E89" s="2"/>
      <c r="F89" s="13"/>
      <c r="G89" s="13"/>
      <c r="H89" s="13" t="str">
        <f t="shared" si="6"/>
        <v/>
      </c>
      <c r="I89" s="2"/>
      <c r="J89" s="2"/>
      <c r="K89" s="2"/>
      <c r="L89" s="2"/>
      <c r="M89" s="2" t="str">
        <f t="shared" si="7"/>
        <v/>
      </c>
      <c r="N89" s="2" t="str">
        <f t="shared" si="8"/>
        <v/>
      </c>
    </row>
    <row r="90" spans="1:14" ht="42" customHeight="1">
      <c r="A90" s="2"/>
      <c r="B90" s="2"/>
      <c r="C90" s="2"/>
      <c r="D90" s="2"/>
      <c r="E90" s="2"/>
      <c r="F90" s="13"/>
      <c r="G90" s="13"/>
      <c r="H90" s="13" t="str">
        <f t="shared" si="6"/>
        <v/>
      </c>
      <c r="I90" s="2"/>
      <c r="J90" s="2"/>
      <c r="K90" s="2"/>
      <c r="L90" s="2"/>
      <c r="M90" s="2" t="str">
        <f t="shared" si="7"/>
        <v/>
      </c>
      <c r="N90" s="2" t="str">
        <f t="shared" si="8"/>
        <v/>
      </c>
    </row>
    <row r="91" spans="1:14" ht="42" customHeight="1">
      <c r="A91" s="2"/>
      <c r="B91" s="2"/>
      <c r="C91" s="2"/>
      <c r="D91" s="2"/>
      <c r="E91" s="2"/>
      <c r="F91" s="13"/>
      <c r="G91" s="13"/>
      <c r="H91" s="13" t="str">
        <f t="shared" si="6"/>
        <v/>
      </c>
      <c r="I91" s="2"/>
      <c r="J91" s="2"/>
      <c r="K91" s="2"/>
      <c r="L91" s="2"/>
      <c r="M91" s="2" t="str">
        <f t="shared" si="7"/>
        <v/>
      </c>
      <c r="N91" s="2" t="str">
        <f t="shared" si="8"/>
        <v/>
      </c>
    </row>
    <row r="92" spans="1:14" ht="42" customHeight="1">
      <c r="A92" s="2"/>
      <c r="B92" s="2"/>
      <c r="C92" s="2"/>
      <c r="D92" s="2"/>
      <c r="E92" s="2"/>
      <c r="F92" s="13"/>
      <c r="G92" s="13"/>
      <c r="H92" s="13" t="str">
        <f t="shared" si="6"/>
        <v/>
      </c>
      <c r="I92" s="2"/>
      <c r="J92" s="2"/>
      <c r="K92" s="2"/>
      <c r="L92" s="2"/>
      <c r="M92" s="2" t="str">
        <f t="shared" si="7"/>
        <v/>
      </c>
      <c r="N92" s="2" t="str">
        <f t="shared" si="8"/>
        <v/>
      </c>
    </row>
    <row r="93" spans="1:14" ht="42" customHeight="1">
      <c r="A93" s="2"/>
      <c r="B93" s="2"/>
      <c r="C93" s="2"/>
      <c r="D93" s="2"/>
      <c r="E93" s="2"/>
      <c r="F93" s="13"/>
      <c r="G93" s="13"/>
      <c r="H93" s="13" t="str">
        <f t="shared" si="6"/>
        <v/>
      </c>
      <c r="I93" s="2"/>
      <c r="J93" s="2"/>
      <c r="K93" s="2"/>
      <c r="L93" s="2"/>
      <c r="M93" s="2" t="str">
        <f t="shared" si="7"/>
        <v/>
      </c>
      <c r="N93" s="2" t="str">
        <f t="shared" si="8"/>
        <v/>
      </c>
    </row>
    <row r="94" spans="1:14" ht="42" customHeight="1">
      <c r="A94" s="2"/>
      <c r="B94" s="2"/>
      <c r="C94" s="2"/>
      <c r="D94" s="2"/>
      <c r="E94" s="2"/>
      <c r="F94" s="13"/>
      <c r="G94" s="13"/>
      <c r="H94" s="13" t="str">
        <f t="shared" si="6"/>
        <v/>
      </c>
      <c r="I94" s="2"/>
      <c r="J94" s="2"/>
      <c r="K94" s="2"/>
      <c r="L94" s="2"/>
      <c r="M94" s="2" t="str">
        <f t="shared" si="7"/>
        <v/>
      </c>
      <c r="N94" s="2" t="str">
        <f t="shared" si="8"/>
        <v/>
      </c>
    </row>
    <row r="95" spans="1:14" ht="42" customHeight="1">
      <c r="A95" s="2"/>
      <c r="B95" s="2"/>
      <c r="C95" s="2"/>
      <c r="D95" s="2"/>
      <c r="E95" s="2"/>
      <c r="F95" s="13"/>
      <c r="G95" s="13"/>
      <c r="H95" s="13" t="str">
        <f t="shared" si="6"/>
        <v/>
      </c>
      <c r="I95" s="2"/>
      <c r="J95" s="2"/>
      <c r="K95" s="2"/>
      <c r="L95" s="2"/>
      <c r="M95" s="2" t="str">
        <f t="shared" si="7"/>
        <v/>
      </c>
      <c r="N95" s="2" t="str">
        <f t="shared" si="8"/>
        <v/>
      </c>
    </row>
    <row r="96" spans="1:14" ht="42" customHeight="1">
      <c r="A96" s="2"/>
      <c r="B96" s="2"/>
      <c r="C96" s="2"/>
      <c r="D96" s="2"/>
      <c r="E96" s="2"/>
      <c r="F96" s="13"/>
      <c r="G96" s="13"/>
      <c r="H96" s="13" t="str">
        <f t="shared" si="6"/>
        <v/>
      </c>
      <c r="I96" s="2"/>
      <c r="J96" s="2"/>
      <c r="K96" s="2"/>
      <c r="L96" s="2"/>
      <c r="M96" s="2" t="str">
        <f t="shared" si="7"/>
        <v/>
      </c>
      <c r="N96" s="2" t="str">
        <f t="shared" si="8"/>
        <v/>
      </c>
    </row>
    <row r="97" spans="1:14" ht="42" customHeight="1">
      <c r="A97" s="2"/>
      <c r="B97" s="2"/>
      <c r="C97" s="2"/>
      <c r="D97" s="2"/>
      <c r="E97" s="2"/>
      <c r="F97" s="13"/>
      <c r="G97" s="13"/>
      <c r="H97" s="13" t="str">
        <f t="shared" si="6"/>
        <v/>
      </c>
      <c r="I97" s="2"/>
      <c r="J97" s="2"/>
      <c r="K97" s="2"/>
      <c r="L97" s="2"/>
      <c r="M97" s="2" t="str">
        <f t="shared" si="7"/>
        <v/>
      </c>
      <c r="N97" s="2" t="str">
        <f t="shared" si="8"/>
        <v/>
      </c>
    </row>
    <row r="98" spans="1:14" ht="42" customHeight="1">
      <c r="A98" s="2"/>
      <c r="B98" s="2"/>
      <c r="C98" s="2"/>
      <c r="D98" s="2"/>
      <c r="E98" s="2"/>
      <c r="F98" s="13"/>
      <c r="G98" s="13"/>
      <c r="H98" s="13" t="str">
        <f t="shared" si="6"/>
        <v/>
      </c>
      <c r="I98" s="2"/>
      <c r="J98" s="2"/>
      <c r="K98" s="2"/>
      <c r="L98" s="2"/>
      <c r="M98" s="2" t="str">
        <f t="shared" si="7"/>
        <v/>
      </c>
      <c r="N98" s="2" t="str">
        <f t="shared" si="8"/>
        <v/>
      </c>
    </row>
    <row r="99" spans="1:14" ht="42" customHeight="1">
      <c r="A99" s="2"/>
      <c r="B99" s="2"/>
      <c r="C99" s="2"/>
      <c r="D99" s="2"/>
      <c r="E99" s="2"/>
      <c r="F99" s="13"/>
      <c r="G99" s="13"/>
      <c r="H99" s="13" t="str">
        <f t="shared" si="6"/>
        <v/>
      </c>
      <c r="I99" s="2"/>
      <c r="J99" s="2"/>
      <c r="K99" s="2"/>
      <c r="L99" s="2"/>
      <c r="M99" s="2" t="str">
        <f t="shared" si="7"/>
        <v/>
      </c>
      <c r="N99" s="2" t="str">
        <f t="shared" si="8"/>
        <v/>
      </c>
    </row>
    <row r="100" spans="1:14" ht="42" customHeight="1">
      <c r="A100" s="2"/>
      <c r="B100" s="2"/>
      <c r="C100" s="2"/>
      <c r="D100" s="2"/>
      <c r="E100" s="2"/>
      <c r="F100" s="13"/>
      <c r="G100" s="13"/>
      <c r="H100" s="13" t="str">
        <f t="shared" si="6"/>
        <v/>
      </c>
      <c r="I100" s="2"/>
      <c r="J100" s="2"/>
      <c r="K100" s="2"/>
      <c r="L100" s="2"/>
      <c r="M100" s="2" t="str">
        <f t="shared" si="7"/>
        <v/>
      </c>
      <c r="N100" s="2" t="str">
        <f t="shared" si="8"/>
        <v/>
      </c>
    </row>
    <row r="101" spans="1:14" ht="42" customHeight="1">
      <c r="A101" s="2"/>
      <c r="B101" s="2"/>
      <c r="C101" s="2"/>
      <c r="D101" s="2"/>
      <c r="E101" s="2"/>
      <c r="F101" s="13"/>
      <c r="G101" s="13"/>
      <c r="H101" s="13" t="str">
        <f t="shared" ref="H101:H132" si="9">IF(OR(F101="",G101=""),"",F101*G101)</f>
        <v/>
      </c>
      <c r="I101" s="2"/>
      <c r="J101" s="2"/>
      <c r="K101" s="2"/>
      <c r="L101" s="2"/>
      <c r="M101" s="2" t="str">
        <f t="shared" ref="M101:M132" si="10">IF(COUNTA(J101:L101)=0,"",ROUND(((J101*0.4)+(K101*0.3)+(L101*0.3))*20,0))</f>
        <v/>
      </c>
      <c r="N101" s="2" t="str">
        <f t="shared" ref="N101:N132" si="11">IF(A101="","",IF(M101&gt;=80,"Готово",IF(M101&gt;=60,"Нужно дополнить",IF(M101&gt;=40,"Черновик","Отклонить"))))</f>
        <v/>
      </c>
    </row>
    <row r="102" spans="1:14" ht="42" customHeight="1">
      <c r="A102" s="2"/>
      <c r="B102" s="2"/>
      <c r="C102" s="2"/>
      <c r="D102" s="2"/>
      <c r="E102" s="2"/>
      <c r="F102" s="13"/>
      <c r="G102" s="13"/>
      <c r="H102" s="13" t="str">
        <f t="shared" si="9"/>
        <v/>
      </c>
      <c r="I102" s="2"/>
      <c r="J102" s="2"/>
      <c r="K102" s="2"/>
      <c r="L102" s="2"/>
      <c r="M102" s="2" t="str">
        <f t="shared" si="10"/>
        <v/>
      </c>
      <c r="N102" s="2" t="str">
        <f t="shared" si="11"/>
        <v/>
      </c>
    </row>
    <row r="103" spans="1:14" ht="42" customHeight="1">
      <c r="A103" s="2"/>
      <c r="B103" s="2"/>
      <c r="C103" s="2"/>
      <c r="D103" s="2"/>
      <c r="E103" s="2"/>
      <c r="F103" s="13"/>
      <c r="G103" s="13"/>
      <c r="H103" s="13" t="str">
        <f t="shared" si="9"/>
        <v/>
      </c>
      <c r="I103" s="2"/>
      <c r="J103" s="2"/>
      <c r="K103" s="2"/>
      <c r="L103" s="2"/>
      <c r="M103" s="2" t="str">
        <f t="shared" si="10"/>
        <v/>
      </c>
      <c r="N103" s="2" t="str">
        <f t="shared" si="11"/>
        <v/>
      </c>
    </row>
    <row r="104" spans="1:14" ht="42" customHeight="1">
      <c r="A104" s="2"/>
      <c r="B104" s="2"/>
      <c r="C104" s="2"/>
      <c r="D104" s="2"/>
      <c r="E104" s="2"/>
      <c r="F104" s="13"/>
      <c r="G104" s="13"/>
      <c r="H104" s="13" t="str">
        <f t="shared" si="9"/>
        <v/>
      </c>
      <c r="I104" s="2"/>
      <c r="J104" s="2"/>
      <c r="K104" s="2"/>
      <c r="L104" s="2"/>
      <c r="M104" s="2" t="str">
        <f t="shared" si="10"/>
        <v/>
      </c>
      <c r="N104" s="2" t="str">
        <f t="shared" si="11"/>
        <v/>
      </c>
    </row>
  </sheetData>
  <mergeCells count="2">
    <mergeCell ref="A1:N1"/>
    <mergeCell ref="A2:N2"/>
  </mergeCells>
  <conditionalFormatting sqref="M5:M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Справочники!$G$4:$G$12</xm:f>
          </x14:formula1>
          <xm:sqref>C5:C104</xm:sqref>
        </x14:dataValidation>
        <x14:dataValidation type="list" xr:uid="{00000000-0002-0000-0700-000001000000}">
          <x14:formula1>
            <xm:f>Справочники!$H$4:$H$12</xm:f>
          </x14:formula1>
          <xm:sqref>E5:E104</xm:sqref>
        </x14:dataValidation>
        <x14:dataValidation type="list" xr:uid="{00000000-0002-0000-0700-000002000000}">
          <x14:formula1>
            <xm:f>Справочники!$A$4:$A$8</xm:f>
          </x14:formula1>
          <xm:sqref>J5:L104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4"/>
  <sheetViews>
    <sheetView workbookViewId="0"/>
  </sheetViews>
  <sheetFormatPr defaultRowHeight="14.25"/>
  <cols>
    <col min="1" max="2" width="12" customWidth="1"/>
    <col min="3" max="3" width="36" customWidth="1"/>
    <col min="4" max="4" width="46" customWidth="1"/>
    <col min="5" max="5" width="30" customWidth="1"/>
    <col min="6" max="6" width="36" customWidth="1"/>
    <col min="7" max="7" width="34" customWidth="1"/>
    <col min="8" max="8" width="40" customWidth="1"/>
    <col min="9" max="9" width="38" customWidth="1"/>
    <col min="10" max="10" width="32" customWidth="1"/>
    <col min="11" max="11" width="34" customWidth="1"/>
    <col min="12" max="12" width="20" customWidth="1"/>
    <col min="13" max="13" width="28" customWidth="1"/>
  </cols>
  <sheetData>
    <row r="1" spans="1:13" ht="27.95" customHeight="1">
      <c r="A1" s="17" t="s">
        <v>199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3.950000000000003" customHeight="1">
      <c r="A2" s="19" t="s">
        <v>200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33.950000000000003" customHeight="1">
      <c r="A4" s="1" t="s">
        <v>201</v>
      </c>
      <c r="B4" s="1" t="s">
        <v>174</v>
      </c>
      <c r="C4" s="1" t="s">
        <v>24</v>
      </c>
      <c r="D4" s="1" t="s">
        <v>36</v>
      </c>
      <c r="E4" s="1" t="s">
        <v>47</v>
      </c>
      <c r="F4" s="1" t="s">
        <v>58</v>
      </c>
      <c r="G4" s="1" t="s">
        <v>67</v>
      </c>
      <c r="H4" s="1" t="s">
        <v>74</v>
      </c>
      <c r="I4" s="1" t="s">
        <v>81</v>
      </c>
      <c r="J4" s="1" t="s">
        <v>86</v>
      </c>
      <c r="K4" s="1" t="s">
        <v>89</v>
      </c>
      <c r="L4" s="1" t="s">
        <v>202</v>
      </c>
      <c r="M4" s="1" t="s">
        <v>130</v>
      </c>
    </row>
    <row r="5" spans="1:13" ht="42" customHeight="1">
      <c r="A5" s="2" t="s">
        <v>203</v>
      </c>
      <c r="B5" s="2" t="s">
        <v>406</v>
      </c>
      <c r="C5" s="2" t="s">
        <v>430</v>
      </c>
      <c r="D5" s="2" t="s">
        <v>431</v>
      </c>
      <c r="E5" s="2" t="s">
        <v>432</v>
      </c>
      <c r="F5" s="2" t="s">
        <v>433</v>
      </c>
      <c r="G5" s="2" t="s">
        <v>434</v>
      </c>
      <c r="H5" s="2" t="s">
        <v>435</v>
      </c>
      <c r="I5" s="2" t="s">
        <v>436</v>
      </c>
      <c r="J5" s="2" t="s">
        <v>437</v>
      </c>
      <c r="K5" s="2" t="s">
        <v>438</v>
      </c>
      <c r="L5" s="2">
        <f t="shared" ref="L5:L36" si="0">IF(A5="","",ROUND((COUNTA(C5:K5)/9)*100,0))</f>
        <v>100</v>
      </c>
      <c r="M5" s="2" t="s">
        <v>439</v>
      </c>
    </row>
    <row r="6" spans="1:13" ht="4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tr">
        <f t="shared" si="0"/>
        <v/>
      </c>
      <c r="M6" s="2"/>
    </row>
    <row r="7" spans="1:13" ht="4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 t="str">
        <f t="shared" si="0"/>
        <v/>
      </c>
      <c r="M7" s="2"/>
    </row>
    <row r="8" spans="1:13" ht="42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 t="str">
        <f t="shared" si="0"/>
        <v/>
      </c>
      <c r="M8" s="2"/>
    </row>
    <row r="9" spans="1:13" ht="42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 t="str">
        <f t="shared" si="0"/>
        <v/>
      </c>
      <c r="M9" s="2"/>
    </row>
    <row r="10" spans="1:13" ht="4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tr">
        <f t="shared" si="0"/>
        <v/>
      </c>
      <c r="M10" s="2"/>
    </row>
    <row r="11" spans="1:13" ht="42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 t="str">
        <f t="shared" si="0"/>
        <v/>
      </c>
      <c r="M11" s="2"/>
    </row>
    <row r="12" spans="1:13" ht="42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 t="str">
        <f t="shared" si="0"/>
        <v/>
      </c>
      <c r="M12" s="2"/>
    </row>
    <row r="13" spans="1:13" ht="42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 t="str">
        <f t="shared" si="0"/>
        <v/>
      </c>
      <c r="M13" s="2"/>
    </row>
    <row r="14" spans="1:13" ht="4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 t="str">
        <f t="shared" si="0"/>
        <v/>
      </c>
      <c r="M14" s="2"/>
    </row>
    <row r="15" spans="1:13" ht="4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 t="str">
        <f t="shared" si="0"/>
        <v/>
      </c>
      <c r="M15" s="2"/>
    </row>
    <row r="16" spans="1:13" ht="4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 t="str">
        <f t="shared" si="0"/>
        <v/>
      </c>
      <c r="M16" s="2"/>
    </row>
    <row r="17" spans="1:13" ht="4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str">
        <f t="shared" si="0"/>
        <v/>
      </c>
      <c r="M17" s="2"/>
    </row>
    <row r="18" spans="1:13" ht="4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 t="str">
        <f t="shared" si="0"/>
        <v/>
      </c>
      <c r="M18" s="2"/>
    </row>
    <row r="19" spans="1:13" ht="4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str">
        <f t="shared" si="0"/>
        <v/>
      </c>
      <c r="M19" s="2"/>
    </row>
    <row r="20" spans="1:13" ht="4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 t="str">
        <f t="shared" si="0"/>
        <v/>
      </c>
      <c r="M20" s="2"/>
    </row>
    <row r="21" spans="1:13" ht="4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 t="str">
        <f t="shared" si="0"/>
        <v/>
      </c>
      <c r="M21" s="2"/>
    </row>
    <row r="22" spans="1:13" ht="4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str">
        <f t="shared" si="0"/>
        <v/>
      </c>
      <c r="M22" s="2"/>
    </row>
    <row r="23" spans="1:13" ht="4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 t="str">
        <f t="shared" si="0"/>
        <v/>
      </c>
      <c r="M23" s="2"/>
    </row>
    <row r="24" spans="1:13" ht="4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tr">
        <f t="shared" si="0"/>
        <v/>
      </c>
      <c r="M24" s="2"/>
    </row>
    <row r="25" spans="1:13" ht="4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 t="str">
        <f t="shared" si="0"/>
        <v/>
      </c>
      <c r="M25" s="2"/>
    </row>
    <row r="26" spans="1:13" ht="42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str">
        <f t="shared" si="0"/>
        <v/>
      </c>
      <c r="M26" s="2"/>
    </row>
    <row r="27" spans="1:13" ht="4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str">
        <f t="shared" si="0"/>
        <v/>
      </c>
      <c r="M27" s="2"/>
    </row>
    <row r="28" spans="1:13" ht="4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tr">
        <f t="shared" si="0"/>
        <v/>
      </c>
      <c r="M28" s="2"/>
    </row>
    <row r="29" spans="1:13" ht="4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t="shared" si="0"/>
        <v/>
      </c>
      <c r="M29" s="2"/>
    </row>
    <row r="30" spans="1:13" ht="42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t="shared" si="0"/>
        <v/>
      </c>
      <c r="M30" s="2"/>
    </row>
    <row r="31" spans="1:13" ht="4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tr">
        <f t="shared" si="0"/>
        <v/>
      </c>
      <c r="M31" s="2"/>
    </row>
    <row r="32" spans="1:13" ht="4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tr">
        <f t="shared" si="0"/>
        <v/>
      </c>
      <c r="M32" s="2"/>
    </row>
    <row r="33" spans="1:13" ht="42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 t="str">
        <f t="shared" si="0"/>
        <v/>
      </c>
      <c r="M33" s="2"/>
    </row>
    <row r="34" spans="1:13" ht="4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tr">
        <f t="shared" si="0"/>
        <v/>
      </c>
      <c r="M34" s="2"/>
    </row>
    <row r="35" spans="1:13" ht="4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str">
        <f t="shared" si="0"/>
        <v/>
      </c>
      <c r="M35" s="2"/>
    </row>
    <row r="36" spans="1:13" ht="4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 t="str">
        <f t="shared" si="0"/>
        <v/>
      </c>
      <c r="M36" s="2"/>
    </row>
    <row r="37" spans="1:13" ht="4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 t="str">
        <f t="shared" ref="L37:L68" si="1">IF(A37="","",ROUND((COUNTA(C37:K37)/9)*100,0))</f>
        <v/>
      </c>
      <c r="M37" s="2"/>
    </row>
    <row r="38" spans="1:13" ht="4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 t="str">
        <f t="shared" si="1"/>
        <v/>
      </c>
      <c r="M38" s="2"/>
    </row>
    <row r="39" spans="1:13" ht="4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 t="str">
        <f t="shared" si="1"/>
        <v/>
      </c>
      <c r="M39" s="2"/>
    </row>
    <row r="40" spans="1:13" ht="4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 t="str">
        <f t="shared" si="1"/>
        <v/>
      </c>
      <c r="M40" s="2"/>
    </row>
    <row r="41" spans="1:13" ht="4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 t="str">
        <f t="shared" si="1"/>
        <v/>
      </c>
      <c r="M41" s="2"/>
    </row>
    <row r="42" spans="1:13" ht="4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str">
        <f t="shared" si="1"/>
        <v/>
      </c>
      <c r="M42" s="2"/>
    </row>
    <row r="43" spans="1:13" ht="4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str">
        <f t="shared" si="1"/>
        <v/>
      </c>
      <c r="M43" s="2"/>
    </row>
    <row r="44" spans="1:13" ht="4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 t="str">
        <f t="shared" si="1"/>
        <v/>
      </c>
      <c r="M44" s="2"/>
    </row>
    <row r="45" spans="1:13" ht="4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str">
        <f t="shared" si="1"/>
        <v/>
      </c>
      <c r="M45" s="2"/>
    </row>
    <row r="46" spans="1:13" ht="4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str">
        <f t="shared" si="1"/>
        <v/>
      </c>
      <c r="M46" s="2"/>
    </row>
    <row r="47" spans="1:13" ht="4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str">
        <f t="shared" si="1"/>
        <v/>
      </c>
      <c r="M47" s="2"/>
    </row>
    <row r="48" spans="1:13" ht="4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 t="str">
        <f t="shared" si="1"/>
        <v/>
      </c>
      <c r="M48" s="2"/>
    </row>
    <row r="49" spans="1:13" ht="4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str">
        <f t="shared" si="1"/>
        <v/>
      </c>
      <c r="M49" s="2"/>
    </row>
    <row r="50" spans="1:13" ht="4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tr">
        <f t="shared" si="1"/>
        <v/>
      </c>
      <c r="M50" s="2"/>
    </row>
    <row r="51" spans="1:13" ht="4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 t="str">
        <f t="shared" si="1"/>
        <v/>
      </c>
      <c r="M51" s="2"/>
    </row>
    <row r="52" spans="1:13" ht="4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str">
        <f t="shared" si="1"/>
        <v/>
      </c>
      <c r="M52" s="2"/>
    </row>
    <row r="53" spans="1:13" ht="4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 t="str">
        <f t="shared" si="1"/>
        <v/>
      </c>
      <c r="M53" s="2"/>
    </row>
    <row r="54" spans="1:13" ht="4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 t="str">
        <f t="shared" si="1"/>
        <v/>
      </c>
      <c r="M54" s="2"/>
    </row>
    <row r="55" spans="1:13" ht="4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 t="str">
        <f t="shared" si="1"/>
        <v/>
      </c>
      <c r="M55" s="2"/>
    </row>
    <row r="56" spans="1:13" ht="4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 t="str">
        <f t="shared" si="1"/>
        <v/>
      </c>
      <c r="M56" s="2"/>
    </row>
    <row r="57" spans="1:13" ht="4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 t="str">
        <f t="shared" si="1"/>
        <v/>
      </c>
      <c r="M57" s="2"/>
    </row>
    <row r="58" spans="1:13" ht="4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tr">
        <f t="shared" si="1"/>
        <v/>
      </c>
      <c r="M58" s="2"/>
    </row>
    <row r="59" spans="1:13" ht="4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str">
        <f t="shared" si="1"/>
        <v/>
      </c>
      <c r="M59" s="2"/>
    </row>
    <row r="60" spans="1:13" ht="4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 t="str">
        <f t="shared" si="1"/>
        <v/>
      </c>
      <c r="M60" s="2"/>
    </row>
    <row r="61" spans="1:13" ht="4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str">
        <f t="shared" si="1"/>
        <v/>
      </c>
      <c r="M61" s="2"/>
    </row>
    <row r="62" spans="1:13" ht="4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 t="str">
        <f t="shared" si="1"/>
        <v/>
      </c>
      <c r="M62" s="2"/>
    </row>
    <row r="63" spans="1:13" ht="4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 t="str">
        <f t="shared" si="1"/>
        <v/>
      </c>
      <c r="M63" s="2"/>
    </row>
    <row r="64" spans="1:13" ht="4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tr">
        <f t="shared" si="1"/>
        <v/>
      </c>
      <c r="M64" s="2"/>
    </row>
    <row r="65" spans="1:13" ht="4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str">
        <f t="shared" si="1"/>
        <v/>
      </c>
      <c r="M65" s="2"/>
    </row>
    <row r="66" spans="1:13" ht="4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 t="str">
        <f t="shared" si="1"/>
        <v/>
      </c>
      <c r="M66" s="2"/>
    </row>
    <row r="67" spans="1:13" ht="4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tr">
        <f t="shared" si="1"/>
        <v/>
      </c>
      <c r="M67" s="2"/>
    </row>
    <row r="68" spans="1:13" ht="4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str">
        <f t="shared" si="1"/>
        <v/>
      </c>
      <c r="M68" s="2"/>
    </row>
    <row r="69" spans="1:13" ht="4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 t="str">
        <f t="shared" ref="L69:L100" si="2">IF(A69="","",ROUND((COUNTA(C69:K69)/9)*100,0))</f>
        <v/>
      </c>
      <c r="M69" s="2"/>
    </row>
    <row r="70" spans="1:13" ht="4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tr">
        <f t="shared" si="2"/>
        <v/>
      </c>
      <c r="M70" s="2"/>
    </row>
    <row r="71" spans="1:13" ht="4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str">
        <f t="shared" si="2"/>
        <v/>
      </c>
      <c r="M71" s="2"/>
    </row>
    <row r="72" spans="1:13" ht="4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str">
        <f t="shared" si="2"/>
        <v/>
      </c>
      <c r="M72" s="2"/>
    </row>
    <row r="73" spans="1:13" ht="4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str">
        <f t="shared" si="2"/>
        <v/>
      </c>
      <c r="M73" s="2"/>
    </row>
    <row r="74" spans="1:13" ht="4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str">
        <f t="shared" si="2"/>
        <v/>
      </c>
      <c r="M74" s="2"/>
    </row>
    <row r="75" spans="1:13" ht="4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str">
        <f t="shared" si="2"/>
        <v/>
      </c>
      <c r="M75" s="2"/>
    </row>
    <row r="76" spans="1:13" ht="4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str">
        <f t="shared" si="2"/>
        <v/>
      </c>
      <c r="M76" s="2"/>
    </row>
    <row r="77" spans="1:13" ht="4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str">
        <f t="shared" si="2"/>
        <v/>
      </c>
      <c r="M77" s="2"/>
    </row>
    <row r="78" spans="1:13" ht="4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str">
        <f t="shared" si="2"/>
        <v/>
      </c>
      <c r="M78" s="2"/>
    </row>
    <row r="79" spans="1:13" ht="4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str">
        <f t="shared" si="2"/>
        <v/>
      </c>
      <c r="M79" s="2"/>
    </row>
    <row r="80" spans="1:13" ht="4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 t="str">
        <f t="shared" si="2"/>
        <v/>
      </c>
      <c r="M80" s="2"/>
    </row>
    <row r="81" spans="1:13" ht="4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tr">
        <f t="shared" si="2"/>
        <v/>
      </c>
      <c r="M81" s="2"/>
    </row>
    <row r="82" spans="1:13" ht="4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tr">
        <f t="shared" si="2"/>
        <v/>
      </c>
      <c r="M82" s="2"/>
    </row>
    <row r="83" spans="1:13" ht="4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 t="str">
        <f t="shared" si="2"/>
        <v/>
      </c>
      <c r="M83" s="2"/>
    </row>
    <row r="84" spans="1:13" ht="4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 t="str">
        <f t="shared" si="2"/>
        <v/>
      </c>
      <c r="M84" s="2"/>
    </row>
    <row r="85" spans="1:13" ht="4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 t="shared" si="2"/>
        <v/>
      </c>
      <c r="M85" s="2"/>
    </row>
    <row r="86" spans="1:13" ht="4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 t="shared" si="2"/>
        <v/>
      </c>
      <c r="M86" s="2"/>
    </row>
    <row r="87" spans="1:13" ht="4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 t="shared" si="2"/>
        <v/>
      </c>
      <c r="M87" s="2"/>
    </row>
    <row r="88" spans="1:13" ht="4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 t="shared" si="2"/>
        <v/>
      </c>
      <c r="M88" s="2"/>
    </row>
    <row r="89" spans="1:13" ht="4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 t="shared" si="2"/>
        <v/>
      </c>
      <c r="M89" s="2"/>
    </row>
    <row r="90" spans="1:13" ht="4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 t="shared" si="2"/>
        <v/>
      </c>
      <c r="M90" s="2"/>
    </row>
    <row r="91" spans="1:13" ht="4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 t="shared" si="2"/>
        <v/>
      </c>
      <c r="M91" s="2"/>
    </row>
    <row r="92" spans="1:13" ht="4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 t="shared" si="2"/>
        <v/>
      </c>
      <c r="M92" s="2"/>
    </row>
    <row r="93" spans="1:13" ht="4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 t="shared" si="2"/>
        <v/>
      </c>
      <c r="M93" s="2"/>
    </row>
    <row r="94" spans="1:13" ht="4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 t="shared" si="2"/>
        <v/>
      </c>
      <c r="M94" s="2"/>
    </row>
    <row r="95" spans="1:13" ht="4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 t="shared" si="2"/>
        <v/>
      </c>
      <c r="M95" s="2"/>
    </row>
    <row r="96" spans="1:13" ht="4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 t="shared" si="2"/>
        <v/>
      </c>
      <c r="M96" s="2"/>
    </row>
    <row r="97" spans="1:13" ht="4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 t="shared" si="2"/>
        <v/>
      </c>
      <c r="M97" s="2"/>
    </row>
    <row r="98" spans="1:13" ht="4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 t="shared" si="2"/>
        <v/>
      </c>
      <c r="M98" s="2"/>
    </row>
    <row r="99" spans="1:13" ht="4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 t="shared" si="2"/>
        <v/>
      </c>
      <c r="M99" s="2"/>
    </row>
    <row r="100" spans="1:13" ht="4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 t="shared" si="2"/>
        <v/>
      </c>
      <c r="M100" s="2"/>
    </row>
    <row r="101" spans="1:13" ht="4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tr">
        <f t="shared" ref="L101:L132" si="3">IF(A101="","",ROUND((COUNTA(C101:K101)/9)*100,0))</f>
        <v/>
      </c>
      <c r="M101" s="2"/>
    </row>
    <row r="102" spans="1:13" ht="4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str">
        <f t="shared" si="3"/>
        <v/>
      </c>
      <c r="M102" s="2"/>
    </row>
    <row r="103" spans="1:13" ht="4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tr">
        <f t="shared" si="3"/>
        <v/>
      </c>
      <c r="M103" s="2"/>
    </row>
    <row r="104" spans="1:13" ht="4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tr">
        <f t="shared" si="3"/>
        <v/>
      </c>
      <c r="M104" s="2"/>
    </row>
  </sheetData>
  <mergeCells count="2">
    <mergeCell ref="A1:M1"/>
    <mergeCell ref="A2:M2"/>
  </mergeCells>
  <conditionalFormatting sqref="L5:L104">
    <cfRule type="dataBar" priority="1">
      <dataBar>
        <cfvo type="min"/>
        <cfvo type="max"/>
        <color rgb="FF4472C4"/>
      </dataBar>
    </cfRule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{49A8C370-6F2E-7FF1-DF4C-64DB7C7D2111}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8C370-6F2E-7FF1-DF4C-64DB7C7D2111}">
            <x14:dataBar>
              <x14:cfvo type="min"/>
              <x14:cfvo type="max"/>
              <x14:negativeFillColor auto="1"/>
              <x14:axisColor auto="1"/>
            </x14:dataBar>
          </x14:cfRule>
          <xm:sqref>L5:L104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4"/>
  <sheetViews>
    <sheetView workbookViewId="0"/>
  </sheetViews>
  <sheetFormatPr defaultRowHeight="14.25"/>
  <cols>
    <col min="1" max="1" width="14" customWidth="1"/>
    <col min="2" max="4" width="12" customWidth="1"/>
    <col min="5" max="5" width="16" customWidth="1"/>
    <col min="6" max="6" width="12" customWidth="1"/>
    <col min="7" max="7" width="16" customWidth="1"/>
    <col min="8" max="8" width="22" customWidth="1"/>
    <col min="9" max="9" width="38" customWidth="1"/>
    <col min="10" max="10" width="42" customWidth="1"/>
  </cols>
  <sheetData>
    <row r="1" spans="1:10" ht="27.95" customHeight="1">
      <c r="A1" s="17" t="s">
        <v>204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3.950000000000003" customHeight="1">
      <c r="A2" s="19" t="s">
        <v>205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3.950000000000003" customHeight="1">
      <c r="A4" s="1" t="s">
        <v>206</v>
      </c>
      <c r="B4" s="1" t="s">
        <v>137</v>
      </c>
      <c r="C4" s="1" t="s">
        <v>163</v>
      </c>
      <c r="D4" s="1" t="s">
        <v>174</v>
      </c>
      <c r="E4" s="1" t="s">
        <v>187</v>
      </c>
      <c r="F4" s="1" t="s">
        <v>201</v>
      </c>
      <c r="G4" s="1" t="s">
        <v>207</v>
      </c>
      <c r="H4" s="1" t="s">
        <v>208</v>
      </c>
      <c r="I4" s="1" t="s">
        <v>209</v>
      </c>
      <c r="J4" s="1" t="s">
        <v>210</v>
      </c>
    </row>
    <row r="5" spans="1:10" ht="42" customHeight="1">
      <c r="A5" s="2" t="s">
        <v>211</v>
      </c>
      <c r="B5" s="2" t="s">
        <v>148</v>
      </c>
      <c r="C5" s="2" t="s">
        <v>171</v>
      </c>
      <c r="D5" s="2" t="s">
        <v>184</v>
      </c>
      <c r="E5" s="2" t="s">
        <v>198</v>
      </c>
      <c r="F5" s="2" t="s">
        <v>203</v>
      </c>
      <c r="G5" s="2">
        <f>IF(A5="","",ROUND((IFERROR(INDEX('Проблемы клиентов'!$K$5:$K$104,MATCH(B5,'Проблемы клиентов'!$A$5:$A$104,0)),0)*0.3+IFERROR(INDEX('Ценностные предложения'!$K$5:$K$104,MATCH(C5,'Ценностные предложения'!$A$5:$A$104,0)),0)*0.15+IFERROR(INDEX('Цифровой товар'!$K$5:$K$104,MATCH(D5,'Цифровой товар'!$A$5:$A$104,0)),0)*0.2+IFERROR(INDEX('Единица монетизации'!$M$5:$M$104,MATCH(E5,'Единица монетизации'!$A$5:$A$104,0)),0)*0.2+IFERROR(INDEX('Бизнес-модель'!$L$5:$L$104,MATCH(F5,'Бизнес-модель'!$A$5:$A$104,0)),0)*0.15),0))</f>
        <v>93</v>
      </c>
      <c r="H5" s="2" t="str">
        <f t="shared" ref="H5:H36" si="0">IF(G5="","",IF(G5&gt;=75,"Проходят проверку",IF(G5&gt;=55,"Требуется доработка","Недостаточно данных")))</f>
        <v>Проходят проверку</v>
      </c>
      <c r="I5" s="2" t="s">
        <v>440</v>
      </c>
      <c r="J5" s="2" t="s">
        <v>441</v>
      </c>
    </row>
    <row r="6" spans="1:10" ht="42" customHeight="1">
      <c r="A6" s="2" t="s">
        <v>442</v>
      </c>
      <c r="B6" s="2" t="s">
        <v>149</v>
      </c>
      <c r="C6" s="2" t="s">
        <v>385</v>
      </c>
      <c r="D6" s="2" t="s">
        <v>406</v>
      </c>
      <c r="E6" s="2" t="s">
        <v>198</v>
      </c>
      <c r="F6" s="2" t="s">
        <v>203</v>
      </c>
      <c r="G6" s="2">
        <f>IF(A6="","",ROUND((IFERROR(INDEX('Проблемы клиентов'!$K$5:$K$104,MATCH(B6,'Проблемы клиентов'!$A$5:$A$104,0)),0)*0.3+IFERROR(INDEX('Ценностные предложения'!$K$5:$K$104,MATCH(C6,'Ценностные предложения'!$A$5:$A$104,0)),0)*0.15+IFERROR(INDEX('Цифровой товар'!$K$5:$K$104,MATCH(D6,'Цифровой товар'!$A$5:$A$104,0)),0)*0.2+IFERROR(INDEX('Единица монетизации'!$M$5:$M$104,MATCH(E6,'Единица монетизации'!$A$5:$A$104,0)),0)*0.2+IFERROR(INDEX('Бизнес-модель'!$L$5:$L$104,MATCH(F6,'Бизнес-модель'!$A$5:$A$104,0)),0)*0.15),0))</f>
        <v>84</v>
      </c>
      <c r="H6" s="2" t="str">
        <f t="shared" si="0"/>
        <v>Проходят проверку</v>
      </c>
      <c r="I6" s="2" t="s">
        <v>443</v>
      </c>
      <c r="J6" s="2" t="s">
        <v>444</v>
      </c>
    </row>
    <row r="7" spans="1:10" ht="42" customHeight="1">
      <c r="A7" s="2" t="s">
        <v>445</v>
      </c>
      <c r="B7" s="2" t="s">
        <v>351</v>
      </c>
      <c r="C7" s="2" t="s">
        <v>392</v>
      </c>
      <c r="D7" s="2" t="s">
        <v>414</v>
      </c>
      <c r="E7" s="2" t="s">
        <v>427</v>
      </c>
      <c r="F7" s="2" t="s">
        <v>203</v>
      </c>
      <c r="G7" s="2">
        <f>IF(A7="","",ROUND((IFERROR(INDEX('Проблемы клиентов'!$K$5:$K$104,MATCH(B7,'Проблемы клиентов'!$A$5:$A$104,0)),0)*0.3+IFERROR(INDEX('Ценностные предложения'!$K$5:$K$104,MATCH(C7,'Ценностные предложения'!$A$5:$A$104,0)),0)*0.15+IFERROR(INDEX('Цифровой товар'!$K$5:$K$104,MATCH(D7,'Цифровой товар'!$A$5:$A$104,0)),0)*0.2+IFERROR(INDEX('Единица монетизации'!$M$5:$M$104,MATCH(E7,'Единица монетизации'!$A$5:$A$104,0)),0)*0.2+IFERROR(INDEX('Бизнес-модель'!$L$5:$L$104,MATCH(F7,'Бизнес-модель'!$A$5:$A$104,0)),0)*0.15),0))</f>
        <v>75</v>
      </c>
      <c r="H7" s="2" t="str">
        <f t="shared" si="0"/>
        <v>Проходят проверку</v>
      </c>
      <c r="I7" s="2" t="s">
        <v>446</v>
      </c>
      <c r="J7" s="2" t="s">
        <v>447</v>
      </c>
    </row>
    <row r="8" spans="1:10" ht="42" customHeight="1">
      <c r="A8" s="2"/>
      <c r="B8" s="2"/>
      <c r="C8" s="2"/>
      <c r="D8" s="2"/>
      <c r="E8" s="2"/>
      <c r="F8" s="2"/>
      <c r="G8" s="2" t="str">
        <f>IF(A8="","",ROUND((IFERROR(INDEX('Проблемы клиентов'!$K$5:$K$104,MATCH(B8,'Проблемы клиентов'!$A$5:$A$104,0)),0)*0.3+IFERROR(INDEX('Ценностные предложения'!$K$5:$K$104,MATCH(C8,'Ценностные предложения'!$A$5:$A$104,0)),0)*0.15+IFERROR(INDEX('Цифровой товар'!$K$5:$K$104,MATCH(D8,'Цифровой товар'!$A$5:$A$104,0)),0)*0.2+IFERROR(INDEX('Единица монетизации'!$M$5:$M$104,MATCH(E8,'Единица монетизации'!$A$5:$A$104,0)),0)*0.2+IFERROR(INDEX('Бизнес-модель'!$L$5:$L$104,MATCH(F8,'Бизнес-модель'!$A$5:$A$104,0)),0)*0.15),0))</f>
        <v/>
      </c>
      <c r="H8" s="2" t="str">
        <f t="shared" si="0"/>
        <v/>
      </c>
      <c r="I8" s="2"/>
      <c r="J8" s="2"/>
    </row>
    <row r="9" spans="1:10" ht="42" customHeight="1">
      <c r="A9" s="2"/>
      <c r="B9" s="2"/>
      <c r="C9" s="2"/>
      <c r="D9" s="2"/>
      <c r="E9" s="2"/>
      <c r="F9" s="2"/>
      <c r="G9" s="2" t="str">
        <f>IF(A9="","",ROUND((IFERROR(INDEX('Проблемы клиентов'!$K$5:$K$104,MATCH(B9,'Проблемы клиентов'!$A$5:$A$104,0)),0)*0.3+IFERROR(INDEX('Ценностные предложения'!$K$5:$K$104,MATCH(C9,'Ценностные предложения'!$A$5:$A$104,0)),0)*0.15+IFERROR(INDEX('Цифровой товар'!$K$5:$K$104,MATCH(D9,'Цифровой товар'!$A$5:$A$104,0)),0)*0.2+IFERROR(INDEX('Единица монетизации'!$M$5:$M$104,MATCH(E9,'Единица монетизации'!$A$5:$A$104,0)),0)*0.2+IFERROR(INDEX('Бизнес-модель'!$L$5:$L$104,MATCH(F9,'Бизнес-модель'!$A$5:$A$104,0)),0)*0.15),0))</f>
        <v/>
      </c>
      <c r="H9" s="2" t="str">
        <f t="shared" si="0"/>
        <v/>
      </c>
      <c r="I9" s="2"/>
      <c r="J9" s="2"/>
    </row>
    <row r="10" spans="1:10" ht="42" customHeight="1">
      <c r="A10" s="2"/>
      <c r="B10" s="2"/>
      <c r="C10" s="2"/>
      <c r="D10" s="2"/>
      <c r="E10" s="2"/>
      <c r="F10" s="2"/>
      <c r="G10" s="2" t="str">
        <f>IF(A10="","",ROUND((IFERROR(INDEX('Проблемы клиентов'!$K$5:$K$104,MATCH(B10,'Проблемы клиентов'!$A$5:$A$104,0)),0)*0.3+IFERROR(INDEX('Ценностные предложения'!$K$5:$K$104,MATCH(C10,'Ценностные предложения'!$A$5:$A$104,0)),0)*0.15+IFERROR(INDEX('Цифровой товар'!$K$5:$K$104,MATCH(D10,'Цифровой товар'!$A$5:$A$104,0)),0)*0.2+IFERROR(INDEX('Единица монетизации'!$M$5:$M$104,MATCH(E10,'Единица монетизации'!$A$5:$A$104,0)),0)*0.2+IFERROR(INDEX('Бизнес-модель'!$L$5:$L$104,MATCH(F10,'Бизнес-модель'!$A$5:$A$104,0)),0)*0.15),0))</f>
        <v/>
      </c>
      <c r="H10" s="2" t="str">
        <f t="shared" si="0"/>
        <v/>
      </c>
      <c r="I10" s="2"/>
      <c r="J10" s="2"/>
    </row>
    <row r="11" spans="1:10" ht="42" customHeight="1">
      <c r="A11" s="2"/>
      <c r="B11" s="2"/>
      <c r="C11" s="2"/>
      <c r="D11" s="2"/>
      <c r="E11" s="2"/>
      <c r="F11" s="2"/>
      <c r="G11" s="2" t="str">
        <f>IF(A11="","",ROUND((IFERROR(INDEX('Проблемы клиентов'!$K$5:$K$104,MATCH(B11,'Проблемы клиентов'!$A$5:$A$104,0)),0)*0.3+IFERROR(INDEX('Ценностные предложения'!$K$5:$K$104,MATCH(C11,'Ценностные предложения'!$A$5:$A$104,0)),0)*0.15+IFERROR(INDEX('Цифровой товар'!$K$5:$K$104,MATCH(D11,'Цифровой товар'!$A$5:$A$104,0)),0)*0.2+IFERROR(INDEX('Единица монетизации'!$M$5:$M$104,MATCH(E11,'Единица монетизации'!$A$5:$A$104,0)),0)*0.2+IFERROR(INDEX('Бизнес-модель'!$L$5:$L$104,MATCH(F11,'Бизнес-модель'!$A$5:$A$104,0)),0)*0.15),0))</f>
        <v/>
      </c>
      <c r="H11" s="2" t="str">
        <f t="shared" si="0"/>
        <v/>
      </c>
      <c r="I11" s="2"/>
      <c r="J11" s="2"/>
    </row>
    <row r="12" spans="1:10" ht="42" customHeight="1">
      <c r="A12" s="2"/>
      <c r="B12" s="2"/>
      <c r="C12" s="2"/>
      <c r="D12" s="2"/>
      <c r="E12" s="2"/>
      <c r="F12" s="2"/>
      <c r="G12" s="2" t="str">
        <f>IF(A12="","",ROUND((IFERROR(INDEX('Проблемы клиентов'!$K$5:$K$104,MATCH(B12,'Проблемы клиентов'!$A$5:$A$104,0)),0)*0.3+IFERROR(INDEX('Ценностные предложения'!$K$5:$K$104,MATCH(C12,'Ценностные предложения'!$A$5:$A$104,0)),0)*0.15+IFERROR(INDEX('Цифровой товар'!$K$5:$K$104,MATCH(D12,'Цифровой товар'!$A$5:$A$104,0)),0)*0.2+IFERROR(INDEX('Единица монетизации'!$M$5:$M$104,MATCH(E12,'Единица монетизации'!$A$5:$A$104,0)),0)*0.2+IFERROR(INDEX('Бизнес-модель'!$L$5:$L$104,MATCH(F12,'Бизнес-модель'!$A$5:$A$104,0)),0)*0.15),0))</f>
        <v/>
      </c>
      <c r="H12" s="2" t="str">
        <f t="shared" si="0"/>
        <v/>
      </c>
      <c r="I12" s="2"/>
      <c r="J12" s="2"/>
    </row>
    <row r="13" spans="1:10" ht="42" customHeight="1">
      <c r="A13" s="2"/>
      <c r="B13" s="2"/>
      <c r="C13" s="2"/>
      <c r="D13" s="2"/>
      <c r="E13" s="2"/>
      <c r="F13" s="2"/>
      <c r="G13" s="2" t="str">
        <f>IF(A13="","",ROUND((IFERROR(INDEX('Проблемы клиентов'!$K$5:$K$104,MATCH(B13,'Проблемы клиентов'!$A$5:$A$104,0)),0)*0.3+IFERROR(INDEX('Ценностные предложения'!$K$5:$K$104,MATCH(C13,'Ценностные предложения'!$A$5:$A$104,0)),0)*0.15+IFERROR(INDEX('Цифровой товар'!$K$5:$K$104,MATCH(D13,'Цифровой товар'!$A$5:$A$104,0)),0)*0.2+IFERROR(INDEX('Единица монетизации'!$M$5:$M$104,MATCH(E13,'Единица монетизации'!$A$5:$A$104,0)),0)*0.2+IFERROR(INDEX('Бизнес-модель'!$L$5:$L$104,MATCH(F13,'Бизнес-модель'!$A$5:$A$104,0)),0)*0.15),0))</f>
        <v/>
      </c>
      <c r="H13" s="2" t="str">
        <f t="shared" si="0"/>
        <v/>
      </c>
      <c r="I13" s="2"/>
      <c r="J13" s="2"/>
    </row>
    <row r="14" spans="1:10" ht="42" customHeight="1">
      <c r="A14" s="2"/>
      <c r="B14" s="2"/>
      <c r="C14" s="2"/>
      <c r="D14" s="2"/>
      <c r="E14" s="2"/>
      <c r="F14" s="2"/>
      <c r="G14" s="2" t="str">
        <f>IF(A14="","",ROUND((IFERROR(INDEX('Проблемы клиентов'!$K$5:$K$104,MATCH(B14,'Проблемы клиентов'!$A$5:$A$104,0)),0)*0.3+IFERROR(INDEX('Ценностные предложения'!$K$5:$K$104,MATCH(C14,'Ценностные предложения'!$A$5:$A$104,0)),0)*0.15+IFERROR(INDEX('Цифровой товар'!$K$5:$K$104,MATCH(D14,'Цифровой товар'!$A$5:$A$104,0)),0)*0.2+IFERROR(INDEX('Единица монетизации'!$M$5:$M$104,MATCH(E14,'Единица монетизации'!$A$5:$A$104,0)),0)*0.2+IFERROR(INDEX('Бизнес-модель'!$L$5:$L$104,MATCH(F14,'Бизнес-модель'!$A$5:$A$104,0)),0)*0.15),0))</f>
        <v/>
      </c>
      <c r="H14" s="2" t="str">
        <f t="shared" si="0"/>
        <v/>
      </c>
      <c r="I14" s="2"/>
      <c r="J14" s="2"/>
    </row>
    <row r="15" spans="1:10" ht="42" customHeight="1">
      <c r="A15" s="2"/>
      <c r="B15" s="2"/>
      <c r="C15" s="2"/>
      <c r="D15" s="2"/>
      <c r="E15" s="2"/>
      <c r="F15" s="2"/>
      <c r="G15" s="2" t="str">
        <f>IF(A15="","",ROUND((IFERROR(INDEX('Проблемы клиентов'!$K$5:$K$104,MATCH(B15,'Проблемы клиентов'!$A$5:$A$104,0)),0)*0.3+IFERROR(INDEX('Ценностные предложения'!$K$5:$K$104,MATCH(C15,'Ценностные предложения'!$A$5:$A$104,0)),0)*0.15+IFERROR(INDEX('Цифровой товар'!$K$5:$K$104,MATCH(D15,'Цифровой товар'!$A$5:$A$104,0)),0)*0.2+IFERROR(INDEX('Единица монетизации'!$M$5:$M$104,MATCH(E15,'Единица монетизации'!$A$5:$A$104,0)),0)*0.2+IFERROR(INDEX('Бизнес-модель'!$L$5:$L$104,MATCH(F15,'Бизнес-модель'!$A$5:$A$104,0)),0)*0.15),0))</f>
        <v/>
      </c>
      <c r="H15" s="2" t="str">
        <f t="shared" si="0"/>
        <v/>
      </c>
      <c r="I15" s="2"/>
      <c r="J15" s="2"/>
    </row>
    <row r="16" spans="1:10" ht="42" customHeight="1">
      <c r="A16" s="2"/>
      <c r="B16" s="2"/>
      <c r="C16" s="2"/>
      <c r="D16" s="2"/>
      <c r="E16" s="2"/>
      <c r="F16" s="2"/>
      <c r="G16" s="2" t="str">
        <f>IF(A16="","",ROUND((IFERROR(INDEX('Проблемы клиентов'!$K$5:$K$104,MATCH(B16,'Проблемы клиентов'!$A$5:$A$104,0)),0)*0.3+IFERROR(INDEX('Ценностные предложения'!$K$5:$K$104,MATCH(C16,'Ценностные предложения'!$A$5:$A$104,0)),0)*0.15+IFERROR(INDEX('Цифровой товар'!$K$5:$K$104,MATCH(D16,'Цифровой товар'!$A$5:$A$104,0)),0)*0.2+IFERROR(INDEX('Единица монетизации'!$M$5:$M$104,MATCH(E16,'Единица монетизации'!$A$5:$A$104,0)),0)*0.2+IFERROR(INDEX('Бизнес-модель'!$L$5:$L$104,MATCH(F16,'Бизнес-модель'!$A$5:$A$104,0)),0)*0.15),0))</f>
        <v/>
      </c>
      <c r="H16" s="2" t="str">
        <f t="shared" si="0"/>
        <v/>
      </c>
      <c r="I16" s="2"/>
      <c r="J16" s="2"/>
    </row>
    <row r="17" spans="1:10" ht="42" customHeight="1">
      <c r="A17" s="2"/>
      <c r="B17" s="2"/>
      <c r="C17" s="2"/>
      <c r="D17" s="2"/>
      <c r="E17" s="2"/>
      <c r="F17" s="2"/>
      <c r="G17" s="2" t="str">
        <f>IF(A17="","",ROUND((IFERROR(INDEX('Проблемы клиентов'!$K$5:$K$104,MATCH(B17,'Проблемы клиентов'!$A$5:$A$104,0)),0)*0.3+IFERROR(INDEX('Ценностные предложения'!$K$5:$K$104,MATCH(C17,'Ценностные предложения'!$A$5:$A$104,0)),0)*0.15+IFERROR(INDEX('Цифровой товар'!$K$5:$K$104,MATCH(D17,'Цифровой товар'!$A$5:$A$104,0)),0)*0.2+IFERROR(INDEX('Единица монетизации'!$M$5:$M$104,MATCH(E17,'Единица монетизации'!$A$5:$A$104,0)),0)*0.2+IFERROR(INDEX('Бизнес-модель'!$L$5:$L$104,MATCH(F17,'Бизнес-модель'!$A$5:$A$104,0)),0)*0.15),0))</f>
        <v/>
      </c>
      <c r="H17" s="2" t="str">
        <f t="shared" si="0"/>
        <v/>
      </c>
      <c r="I17" s="2"/>
      <c r="J17" s="2"/>
    </row>
    <row r="18" spans="1:10" ht="42" customHeight="1">
      <c r="A18" s="2"/>
      <c r="B18" s="2"/>
      <c r="C18" s="2"/>
      <c r="D18" s="2"/>
      <c r="E18" s="2"/>
      <c r="F18" s="2"/>
      <c r="G18" s="2" t="str">
        <f>IF(A18="","",ROUND((IFERROR(INDEX('Проблемы клиентов'!$K$5:$K$104,MATCH(B18,'Проблемы клиентов'!$A$5:$A$104,0)),0)*0.3+IFERROR(INDEX('Ценностные предложения'!$K$5:$K$104,MATCH(C18,'Ценностные предложения'!$A$5:$A$104,0)),0)*0.15+IFERROR(INDEX('Цифровой товар'!$K$5:$K$104,MATCH(D18,'Цифровой товар'!$A$5:$A$104,0)),0)*0.2+IFERROR(INDEX('Единица монетизации'!$M$5:$M$104,MATCH(E18,'Единица монетизации'!$A$5:$A$104,0)),0)*0.2+IFERROR(INDEX('Бизнес-модель'!$L$5:$L$104,MATCH(F18,'Бизнес-модель'!$A$5:$A$104,0)),0)*0.15),0))</f>
        <v/>
      </c>
      <c r="H18" s="2" t="str">
        <f t="shared" si="0"/>
        <v/>
      </c>
      <c r="I18" s="2"/>
      <c r="J18" s="2"/>
    </row>
    <row r="19" spans="1:10" ht="42" customHeight="1">
      <c r="A19" s="2"/>
      <c r="B19" s="2"/>
      <c r="C19" s="2"/>
      <c r="D19" s="2"/>
      <c r="E19" s="2"/>
      <c r="F19" s="2"/>
      <c r="G19" s="2" t="str">
        <f>IF(A19="","",ROUND((IFERROR(INDEX('Проблемы клиентов'!$K$5:$K$104,MATCH(B19,'Проблемы клиентов'!$A$5:$A$104,0)),0)*0.3+IFERROR(INDEX('Ценностные предложения'!$K$5:$K$104,MATCH(C19,'Ценностные предложения'!$A$5:$A$104,0)),0)*0.15+IFERROR(INDEX('Цифровой товар'!$K$5:$K$104,MATCH(D19,'Цифровой товар'!$A$5:$A$104,0)),0)*0.2+IFERROR(INDEX('Единица монетизации'!$M$5:$M$104,MATCH(E19,'Единица монетизации'!$A$5:$A$104,0)),0)*0.2+IFERROR(INDEX('Бизнес-модель'!$L$5:$L$104,MATCH(F19,'Бизнес-модель'!$A$5:$A$104,0)),0)*0.15),0))</f>
        <v/>
      </c>
      <c r="H19" s="2" t="str">
        <f t="shared" si="0"/>
        <v/>
      </c>
      <c r="I19" s="2"/>
      <c r="J19" s="2"/>
    </row>
    <row r="20" spans="1:10" ht="42" customHeight="1">
      <c r="A20" s="2"/>
      <c r="B20" s="2"/>
      <c r="C20" s="2"/>
      <c r="D20" s="2"/>
      <c r="E20" s="2"/>
      <c r="F20" s="2"/>
      <c r="G20" s="2" t="str">
        <f>IF(A20="","",ROUND((IFERROR(INDEX('Проблемы клиентов'!$K$5:$K$104,MATCH(B20,'Проблемы клиентов'!$A$5:$A$104,0)),0)*0.3+IFERROR(INDEX('Ценностные предложения'!$K$5:$K$104,MATCH(C20,'Ценностные предложения'!$A$5:$A$104,0)),0)*0.15+IFERROR(INDEX('Цифровой товар'!$K$5:$K$104,MATCH(D20,'Цифровой товар'!$A$5:$A$104,0)),0)*0.2+IFERROR(INDEX('Единица монетизации'!$M$5:$M$104,MATCH(E20,'Единица монетизации'!$A$5:$A$104,0)),0)*0.2+IFERROR(INDEX('Бизнес-модель'!$L$5:$L$104,MATCH(F20,'Бизнес-модель'!$A$5:$A$104,0)),0)*0.15),0))</f>
        <v/>
      </c>
      <c r="H20" s="2" t="str">
        <f t="shared" si="0"/>
        <v/>
      </c>
      <c r="I20" s="2"/>
      <c r="J20" s="2"/>
    </row>
    <row r="21" spans="1:10" ht="42" customHeight="1">
      <c r="A21" s="2"/>
      <c r="B21" s="2"/>
      <c r="C21" s="2"/>
      <c r="D21" s="2"/>
      <c r="E21" s="2"/>
      <c r="F21" s="2"/>
      <c r="G21" s="2" t="str">
        <f>IF(A21="","",ROUND((IFERROR(INDEX('Проблемы клиентов'!$K$5:$K$104,MATCH(B21,'Проблемы клиентов'!$A$5:$A$104,0)),0)*0.3+IFERROR(INDEX('Ценностные предложения'!$K$5:$K$104,MATCH(C21,'Ценностные предложения'!$A$5:$A$104,0)),0)*0.15+IFERROR(INDEX('Цифровой товар'!$K$5:$K$104,MATCH(D21,'Цифровой товар'!$A$5:$A$104,0)),0)*0.2+IFERROR(INDEX('Единица монетизации'!$M$5:$M$104,MATCH(E21,'Единица монетизации'!$A$5:$A$104,0)),0)*0.2+IFERROR(INDEX('Бизнес-модель'!$L$5:$L$104,MATCH(F21,'Бизнес-модель'!$A$5:$A$104,0)),0)*0.15),0))</f>
        <v/>
      </c>
      <c r="H21" s="2" t="str">
        <f t="shared" si="0"/>
        <v/>
      </c>
      <c r="I21" s="2"/>
      <c r="J21" s="2"/>
    </row>
    <row r="22" spans="1:10" ht="42" customHeight="1">
      <c r="A22" s="2"/>
      <c r="B22" s="2"/>
      <c r="C22" s="2"/>
      <c r="D22" s="2"/>
      <c r="E22" s="2"/>
      <c r="F22" s="2"/>
      <c r="G22" s="2" t="str">
        <f>IF(A22="","",ROUND((IFERROR(INDEX('Проблемы клиентов'!$K$5:$K$104,MATCH(B22,'Проблемы клиентов'!$A$5:$A$104,0)),0)*0.3+IFERROR(INDEX('Ценностные предложения'!$K$5:$K$104,MATCH(C22,'Ценностные предложения'!$A$5:$A$104,0)),0)*0.15+IFERROR(INDEX('Цифровой товар'!$K$5:$K$104,MATCH(D22,'Цифровой товар'!$A$5:$A$104,0)),0)*0.2+IFERROR(INDEX('Единица монетизации'!$M$5:$M$104,MATCH(E22,'Единица монетизации'!$A$5:$A$104,0)),0)*0.2+IFERROR(INDEX('Бизнес-модель'!$L$5:$L$104,MATCH(F22,'Бизнес-модель'!$A$5:$A$104,0)),0)*0.15),0))</f>
        <v/>
      </c>
      <c r="H22" s="2" t="str">
        <f t="shared" si="0"/>
        <v/>
      </c>
      <c r="I22" s="2"/>
      <c r="J22" s="2"/>
    </row>
    <row r="23" spans="1:10" ht="42" customHeight="1">
      <c r="A23" s="2"/>
      <c r="B23" s="2"/>
      <c r="C23" s="2"/>
      <c r="D23" s="2"/>
      <c r="E23" s="2"/>
      <c r="F23" s="2"/>
      <c r="G23" s="2" t="str">
        <f>IF(A23="","",ROUND((IFERROR(INDEX('Проблемы клиентов'!$K$5:$K$104,MATCH(B23,'Проблемы клиентов'!$A$5:$A$104,0)),0)*0.3+IFERROR(INDEX('Ценностные предложения'!$K$5:$K$104,MATCH(C23,'Ценностные предложения'!$A$5:$A$104,0)),0)*0.15+IFERROR(INDEX('Цифровой товар'!$K$5:$K$104,MATCH(D23,'Цифровой товар'!$A$5:$A$104,0)),0)*0.2+IFERROR(INDEX('Единица монетизации'!$M$5:$M$104,MATCH(E23,'Единица монетизации'!$A$5:$A$104,0)),0)*0.2+IFERROR(INDEX('Бизнес-модель'!$L$5:$L$104,MATCH(F23,'Бизнес-модель'!$A$5:$A$104,0)),0)*0.15),0))</f>
        <v/>
      </c>
      <c r="H23" s="2" t="str">
        <f t="shared" si="0"/>
        <v/>
      </c>
      <c r="I23" s="2"/>
      <c r="J23" s="2"/>
    </row>
    <row r="24" spans="1:10" ht="42" customHeight="1">
      <c r="A24" s="2"/>
      <c r="B24" s="2"/>
      <c r="C24" s="2"/>
      <c r="D24" s="2"/>
      <c r="E24" s="2"/>
      <c r="F24" s="2"/>
      <c r="G24" s="2" t="str">
        <f>IF(A24="","",ROUND((IFERROR(INDEX('Проблемы клиентов'!$K$5:$K$104,MATCH(B24,'Проблемы клиентов'!$A$5:$A$104,0)),0)*0.3+IFERROR(INDEX('Ценностные предложения'!$K$5:$K$104,MATCH(C24,'Ценностные предложения'!$A$5:$A$104,0)),0)*0.15+IFERROR(INDEX('Цифровой товар'!$K$5:$K$104,MATCH(D24,'Цифровой товар'!$A$5:$A$104,0)),0)*0.2+IFERROR(INDEX('Единица монетизации'!$M$5:$M$104,MATCH(E24,'Единица монетизации'!$A$5:$A$104,0)),0)*0.2+IFERROR(INDEX('Бизнес-модель'!$L$5:$L$104,MATCH(F24,'Бизнес-модель'!$A$5:$A$104,0)),0)*0.15),0))</f>
        <v/>
      </c>
      <c r="H24" s="2" t="str">
        <f t="shared" si="0"/>
        <v/>
      </c>
      <c r="I24" s="2"/>
      <c r="J24" s="2"/>
    </row>
    <row r="25" spans="1:10" ht="42" customHeight="1">
      <c r="A25" s="2"/>
      <c r="B25" s="2"/>
      <c r="C25" s="2"/>
      <c r="D25" s="2"/>
      <c r="E25" s="2"/>
      <c r="F25" s="2"/>
      <c r="G25" s="2" t="str">
        <f>IF(A25="","",ROUND((IFERROR(INDEX('Проблемы клиентов'!$K$5:$K$104,MATCH(B25,'Проблемы клиентов'!$A$5:$A$104,0)),0)*0.3+IFERROR(INDEX('Ценностные предложения'!$K$5:$K$104,MATCH(C25,'Ценностные предложения'!$A$5:$A$104,0)),0)*0.15+IFERROR(INDEX('Цифровой товар'!$K$5:$K$104,MATCH(D25,'Цифровой товар'!$A$5:$A$104,0)),0)*0.2+IFERROR(INDEX('Единица монетизации'!$M$5:$M$104,MATCH(E25,'Единица монетизации'!$A$5:$A$104,0)),0)*0.2+IFERROR(INDEX('Бизнес-модель'!$L$5:$L$104,MATCH(F25,'Бизнес-модель'!$A$5:$A$104,0)),0)*0.15),0))</f>
        <v/>
      </c>
      <c r="H25" s="2" t="str">
        <f t="shared" si="0"/>
        <v/>
      </c>
      <c r="I25" s="2"/>
      <c r="J25" s="2"/>
    </row>
    <row r="26" spans="1:10" ht="42" customHeight="1">
      <c r="A26" s="2"/>
      <c r="B26" s="2"/>
      <c r="C26" s="2"/>
      <c r="D26" s="2"/>
      <c r="E26" s="2"/>
      <c r="F26" s="2"/>
      <c r="G26" s="2" t="str">
        <f>IF(A26="","",ROUND((IFERROR(INDEX('Проблемы клиентов'!$K$5:$K$104,MATCH(B26,'Проблемы клиентов'!$A$5:$A$104,0)),0)*0.3+IFERROR(INDEX('Ценностные предложения'!$K$5:$K$104,MATCH(C26,'Ценностные предложения'!$A$5:$A$104,0)),0)*0.15+IFERROR(INDEX('Цифровой товар'!$K$5:$K$104,MATCH(D26,'Цифровой товар'!$A$5:$A$104,0)),0)*0.2+IFERROR(INDEX('Единица монетизации'!$M$5:$M$104,MATCH(E26,'Единица монетизации'!$A$5:$A$104,0)),0)*0.2+IFERROR(INDEX('Бизнес-модель'!$L$5:$L$104,MATCH(F26,'Бизнес-модель'!$A$5:$A$104,0)),0)*0.15),0))</f>
        <v/>
      </c>
      <c r="H26" s="2" t="str">
        <f t="shared" si="0"/>
        <v/>
      </c>
      <c r="I26" s="2"/>
      <c r="J26" s="2"/>
    </row>
    <row r="27" spans="1:10" ht="42" customHeight="1">
      <c r="A27" s="2"/>
      <c r="B27" s="2"/>
      <c r="C27" s="2"/>
      <c r="D27" s="2"/>
      <c r="E27" s="2"/>
      <c r="F27" s="2"/>
      <c r="G27" s="2" t="str">
        <f>IF(A27="","",ROUND((IFERROR(INDEX('Проблемы клиентов'!$K$5:$K$104,MATCH(B27,'Проблемы клиентов'!$A$5:$A$104,0)),0)*0.3+IFERROR(INDEX('Ценностные предложения'!$K$5:$K$104,MATCH(C27,'Ценностные предложения'!$A$5:$A$104,0)),0)*0.15+IFERROR(INDEX('Цифровой товар'!$K$5:$K$104,MATCH(D27,'Цифровой товар'!$A$5:$A$104,0)),0)*0.2+IFERROR(INDEX('Единица монетизации'!$M$5:$M$104,MATCH(E27,'Единица монетизации'!$A$5:$A$104,0)),0)*0.2+IFERROR(INDEX('Бизнес-модель'!$L$5:$L$104,MATCH(F27,'Бизнес-модель'!$A$5:$A$104,0)),0)*0.15),0))</f>
        <v/>
      </c>
      <c r="H27" s="2" t="str">
        <f t="shared" si="0"/>
        <v/>
      </c>
      <c r="I27" s="2"/>
      <c r="J27" s="2"/>
    </row>
    <row r="28" spans="1:10" ht="42" customHeight="1">
      <c r="A28" s="2"/>
      <c r="B28" s="2"/>
      <c r="C28" s="2"/>
      <c r="D28" s="2"/>
      <c r="E28" s="2"/>
      <c r="F28" s="2"/>
      <c r="G28" s="2" t="str">
        <f>IF(A28="","",ROUND((IFERROR(INDEX('Проблемы клиентов'!$K$5:$K$104,MATCH(B28,'Проблемы клиентов'!$A$5:$A$104,0)),0)*0.3+IFERROR(INDEX('Ценностные предложения'!$K$5:$K$104,MATCH(C28,'Ценностные предложения'!$A$5:$A$104,0)),0)*0.15+IFERROR(INDEX('Цифровой товар'!$K$5:$K$104,MATCH(D28,'Цифровой товар'!$A$5:$A$104,0)),0)*0.2+IFERROR(INDEX('Единица монетизации'!$M$5:$M$104,MATCH(E28,'Единица монетизации'!$A$5:$A$104,0)),0)*0.2+IFERROR(INDEX('Бизнес-модель'!$L$5:$L$104,MATCH(F28,'Бизнес-модель'!$A$5:$A$104,0)),0)*0.15),0))</f>
        <v/>
      </c>
      <c r="H28" s="2" t="str">
        <f t="shared" si="0"/>
        <v/>
      </c>
      <c r="I28" s="2"/>
      <c r="J28" s="2"/>
    </row>
    <row r="29" spans="1:10" ht="42" customHeight="1">
      <c r="A29" s="2"/>
      <c r="B29" s="2"/>
      <c r="C29" s="2"/>
      <c r="D29" s="2"/>
      <c r="E29" s="2"/>
      <c r="F29" s="2"/>
      <c r="G29" s="2" t="str">
        <f>IF(A29="","",ROUND((IFERROR(INDEX('Проблемы клиентов'!$K$5:$K$104,MATCH(B29,'Проблемы клиентов'!$A$5:$A$104,0)),0)*0.3+IFERROR(INDEX('Ценностные предложения'!$K$5:$K$104,MATCH(C29,'Ценностные предложения'!$A$5:$A$104,0)),0)*0.15+IFERROR(INDEX('Цифровой товар'!$K$5:$K$104,MATCH(D29,'Цифровой товар'!$A$5:$A$104,0)),0)*0.2+IFERROR(INDEX('Единица монетизации'!$M$5:$M$104,MATCH(E29,'Единица монетизации'!$A$5:$A$104,0)),0)*0.2+IFERROR(INDEX('Бизнес-модель'!$L$5:$L$104,MATCH(F29,'Бизнес-модель'!$A$5:$A$104,0)),0)*0.15),0))</f>
        <v/>
      </c>
      <c r="H29" s="2" t="str">
        <f t="shared" si="0"/>
        <v/>
      </c>
      <c r="I29" s="2"/>
      <c r="J29" s="2"/>
    </row>
    <row r="30" spans="1:10" ht="42" customHeight="1">
      <c r="A30" s="2"/>
      <c r="B30" s="2"/>
      <c r="C30" s="2"/>
      <c r="D30" s="2"/>
      <c r="E30" s="2"/>
      <c r="F30" s="2"/>
      <c r="G30" s="2" t="str">
        <f>IF(A30="","",ROUND((IFERROR(INDEX('Проблемы клиентов'!$K$5:$K$104,MATCH(B30,'Проблемы клиентов'!$A$5:$A$104,0)),0)*0.3+IFERROR(INDEX('Ценностные предложения'!$K$5:$K$104,MATCH(C30,'Ценностные предложения'!$A$5:$A$104,0)),0)*0.15+IFERROR(INDEX('Цифровой товар'!$K$5:$K$104,MATCH(D30,'Цифровой товар'!$A$5:$A$104,0)),0)*0.2+IFERROR(INDEX('Единица монетизации'!$M$5:$M$104,MATCH(E30,'Единица монетизации'!$A$5:$A$104,0)),0)*0.2+IFERROR(INDEX('Бизнес-модель'!$L$5:$L$104,MATCH(F30,'Бизнес-модель'!$A$5:$A$104,0)),0)*0.15),0))</f>
        <v/>
      </c>
      <c r="H30" s="2" t="str">
        <f t="shared" si="0"/>
        <v/>
      </c>
      <c r="I30" s="2"/>
      <c r="J30" s="2"/>
    </row>
    <row r="31" spans="1:10" ht="42" customHeight="1">
      <c r="A31" s="2"/>
      <c r="B31" s="2"/>
      <c r="C31" s="2"/>
      <c r="D31" s="2"/>
      <c r="E31" s="2"/>
      <c r="F31" s="2"/>
      <c r="G31" s="2" t="str">
        <f>IF(A31="","",ROUND((IFERROR(INDEX('Проблемы клиентов'!$K$5:$K$104,MATCH(B31,'Проблемы клиентов'!$A$5:$A$104,0)),0)*0.3+IFERROR(INDEX('Ценностные предложения'!$K$5:$K$104,MATCH(C31,'Ценностные предложения'!$A$5:$A$104,0)),0)*0.15+IFERROR(INDEX('Цифровой товар'!$K$5:$K$104,MATCH(D31,'Цифровой товар'!$A$5:$A$104,0)),0)*0.2+IFERROR(INDEX('Единица монетизации'!$M$5:$M$104,MATCH(E31,'Единица монетизации'!$A$5:$A$104,0)),0)*0.2+IFERROR(INDEX('Бизнес-модель'!$L$5:$L$104,MATCH(F31,'Бизнес-модель'!$A$5:$A$104,0)),0)*0.15),0))</f>
        <v/>
      </c>
      <c r="H31" s="2" t="str">
        <f t="shared" si="0"/>
        <v/>
      </c>
      <c r="I31" s="2"/>
      <c r="J31" s="2"/>
    </row>
    <row r="32" spans="1:10" ht="42" customHeight="1">
      <c r="A32" s="2"/>
      <c r="B32" s="2"/>
      <c r="C32" s="2"/>
      <c r="D32" s="2"/>
      <c r="E32" s="2"/>
      <c r="F32" s="2"/>
      <c r="G32" s="2" t="str">
        <f>IF(A32="","",ROUND((IFERROR(INDEX('Проблемы клиентов'!$K$5:$K$104,MATCH(B32,'Проблемы клиентов'!$A$5:$A$104,0)),0)*0.3+IFERROR(INDEX('Ценностные предложения'!$K$5:$K$104,MATCH(C32,'Ценностные предложения'!$A$5:$A$104,0)),0)*0.15+IFERROR(INDEX('Цифровой товар'!$K$5:$K$104,MATCH(D32,'Цифровой товар'!$A$5:$A$104,0)),0)*0.2+IFERROR(INDEX('Единица монетизации'!$M$5:$M$104,MATCH(E32,'Единица монетизации'!$A$5:$A$104,0)),0)*0.2+IFERROR(INDEX('Бизнес-модель'!$L$5:$L$104,MATCH(F32,'Бизнес-модель'!$A$5:$A$104,0)),0)*0.15),0))</f>
        <v/>
      </c>
      <c r="H32" s="2" t="str">
        <f t="shared" si="0"/>
        <v/>
      </c>
      <c r="I32" s="2"/>
      <c r="J32" s="2"/>
    </row>
    <row r="33" spans="1:10" ht="42" customHeight="1">
      <c r="A33" s="2"/>
      <c r="B33" s="2"/>
      <c r="C33" s="2"/>
      <c r="D33" s="2"/>
      <c r="E33" s="2"/>
      <c r="F33" s="2"/>
      <c r="G33" s="2" t="str">
        <f>IF(A33="","",ROUND((IFERROR(INDEX('Проблемы клиентов'!$K$5:$K$104,MATCH(B33,'Проблемы клиентов'!$A$5:$A$104,0)),0)*0.3+IFERROR(INDEX('Ценностные предложения'!$K$5:$K$104,MATCH(C33,'Ценностные предложения'!$A$5:$A$104,0)),0)*0.15+IFERROR(INDEX('Цифровой товар'!$K$5:$K$104,MATCH(D33,'Цифровой товар'!$A$5:$A$104,0)),0)*0.2+IFERROR(INDEX('Единица монетизации'!$M$5:$M$104,MATCH(E33,'Единица монетизации'!$A$5:$A$104,0)),0)*0.2+IFERROR(INDEX('Бизнес-модель'!$L$5:$L$104,MATCH(F33,'Бизнес-модель'!$A$5:$A$104,0)),0)*0.15),0))</f>
        <v/>
      </c>
      <c r="H33" s="2" t="str">
        <f t="shared" si="0"/>
        <v/>
      </c>
      <c r="I33" s="2"/>
      <c r="J33" s="2"/>
    </row>
    <row r="34" spans="1:10" ht="42" customHeight="1">
      <c r="A34" s="2"/>
      <c r="B34" s="2"/>
      <c r="C34" s="2"/>
      <c r="D34" s="2"/>
      <c r="E34" s="2"/>
      <c r="F34" s="2"/>
      <c r="G34" s="2" t="str">
        <f>IF(A34="","",ROUND((IFERROR(INDEX('Проблемы клиентов'!$K$5:$K$104,MATCH(B34,'Проблемы клиентов'!$A$5:$A$104,0)),0)*0.3+IFERROR(INDEX('Ценностные предложения'!$K$5:$K$104,MATCH(C34,'Ценностные предложения'!$A$5:$A$104,0)),0)*0.15+IFERROR(INDEX('Цифровой товар'!$K$5:$K$104,MATCH(D34,'Цифровой товар'!$A$5:$A$104,0)),0)*0.2+IFERROR(INDEX('Единица монетизации'!$M$5:$M$104,MATCH(E34,'Единица монетизации'!$A$5:$A$104,0)),0)*0.2+IFERROR(INDEX('Бизнес-модель'!$L$5:$L$104,MATCH(F34,'Бизнес-модель'!$A$5:$A$104,0)),0)*0.15),0))</f>
        <v/>
      </c>
      <c r="H34" s="2" t="str">
        <f t="shared" si="0"/>
        <v/>
      </c>
      <c r="I34" s="2"/>
      <c r="J34" s="2"/>
    </row>
    <row r="35" spans="1:10" ht="42" customHeight="1">
      <c r="A35" s="2"/>
      <c r="B35" s="2"/>
      <c r="C35" s="2"/>
      <c r="D35" s="2"/>
      <c r="E35" s="2"/>
      <c r="F35" s="2"/>
      <c r="G35" s="2" t="str">
        <f>IF(A35="","",ROUND((IFERROR(INDEX('Проблемы клиентов'!$K$5:$K$104,MATCH(B35,'Проблемы клиентов'!$A$5:$A$104,0)),0)*0.3+IFERROR(INDEX('Ценностные предложения'!$K$5:$K$104,MATCH(C35,'Ценностные предложения'!$A$5:$A$104,0)),0)*0.15+IFERROR(INDEX('Цифровой товар'!$K$5:$K$104,MATCH(D35,'Цифровой товар'!$A$5:$A$104,0)),0)*0.2+IFERROR(INDEX('Единица монетизации'!$M$5:$M$104,MATCH(E35,'Единица монетизации'!$A$5:$A$104,0)),0)*0.2+IFERROR(INDEX('Бизнес-модель'!$L$5:$L$104,MATCH(F35,'Бизнес-модель'!$A$5:$A$104,0)),0)*0.15),0))</f>
        <v/>
      </c>
      <c r="H35" s="2" t="str">
        <f t="shared" si="0"/>
        <v/>
      </c>
      <c r="I35" s="2"/>
      <c r="J35" s="2"/>
    </row>
    <row r="36" spans="1:10" ht="42" customHeight="1">
      <c r="A36" s="2"/>
      <c r="B36" s="2"/>
      <c r="C36" s="2"/>
      <c r="D36" s="2"/>
      <c r="E36" s="2"/>
      <c r="F36" s="2"/>
      <c r="G36" s="2" t="str">
        <f>IF(A36="","",ROUND((IFERROR(INDEX('Проблемы клиентов'!$K$5:$K$104,MATCH(B36,'Проблемы клиентов'!$A$5:$A$104,0)),0)*0.3+IFERROR(INDEX('Ценностные предложения'!$K$5:$K$104,MATCH(C36,'Ценностные предложения'!$A$5:$A$104,0)),0)*0.15+IFERROR(INDEX('Цифровой товар'!$K$5:$K$104,MATCH(D36,'Цифровой товар'!$A$5:$A$104,0)),0)*0.2+IFERROR(INDEX('Единица монетизации'!$M$5:$M$104,MATCH(E36,'Единица монетизации'!$A$5:$A$104,0)),0)*0.2+IFERROR(INDEX('Бизнес-модель'!$L$5:$L$104,MATCH(F36,'Бизнес-модель'!$A$5:$A$104,0)),0)*0.15),0))</f>
        <v/>
      </c>
      <c r="H36" s="2" t="str">
        <f t="shared" si="0"/>
        <v/>
      </c>
      <c r="I36" s="2"/>
      <c r="J36" s="2"/>
    </row>
    <row r="37" spans="1:10" ht="42" customHeight="1">
      <c r="A37" s="2"/>
      <c r="B37" s="2"/>
      <c r="C37" s="2"/>
      <c r="D37" s="2"/>
      <c r="E37" s="2"/>
      <c r="F37" s="2"/>
      <c r="G37" s="2" t="str">
        <f>IF(A37="","",ROUND((IFERROR(INDEX('Проблемы клиентов'!$K$5:$K$104,MATCH(B37,'Проблемы клиентов'!$A$5:$A$104,0)),0)*0.3+IFERROR(INDEX('Ценностные предложения'!$K$5:$K$104,MATCH(C37,'Ценностные предложения'!$A$5:$A$104,0)),0)*0.15+IFERROR(INDEX('Цифровой товар'!$K$5:$K$104,MATCH(D37,'Цифровой товар'!$A$5:$A$104,0)),0)*0.2+IFERROR(INDEX('Единица монетизации'!$M$5:$M$104,MATCH(E37,'Единица монетизации'!$A$5:$A$104,0)),0)*0.2+IFERROR(INDEX('Бизнес-модель'!$L$5:$L$104,MATCH(F37,'Бизнес-модель'!$A$5:$A$104,0)),0)*0.15),0))</f>
        <v/>
      </c>
      <c r="H37" s="2" t="str">
        <f t="shared" ref="H37:H68" si="1">IF(G37="","",IF(G37&gt;=75,"Проходят проверку",IF(G37&gt;=55,"Требуется доработка","Недостаточно данных")))</f>
        <v/>
      </c>
      <c r="I37" s="2"/>
      <c r="J37" s="2"/>
    </row>
    <row r="38" spans="1:10" ht="42" customHeight="1">
      <c r="A38" s="2"/>
      <c r="B38" s="2"/>
      <c r="C38" s="2"/>
      <c r="D38" s="2"/>
      <c r="E38" s="2"/>
      <c r="F38" s="2"/>
      <c r="G38" s="2" t="str">
        <f>IF(A38="","",ROUND((IFERROR(INDEX('Проблемы клиентов'!$K$5:$K$104,MATCH(B38,'Проблемы клиентов'!$A$5:$A$104,0)),0)*0.3+IFERROR(INDEX('Ценностные предложения'!$K$5:$K$104,MATCH(C38,'Ценностные предложения'!$A$5:$A$104,0)),0)*0.15+IFERROR(INDEX('Цифровой товар'!$K$5:$K$104,MATCH(D38,'Цифровой товар'!$A$5:$A$104,0)),0)*0.2+IFERROR(INDEX('Единица монетизации'!$M$5:$M$104,MATCH(E38,'Единица монетизации'!$A$5:$A$104,0)),0)*0.2+IFERROR(INDEX('Бизнес-модель'!$L$5:$L$104,MATCH(F38,'Бизнес-модель'!$A$5:$A$104,0)),0)*0.15),0))</f>
        <v/>
      </c>
      <c r="H38" s="2" t="str">
        <f t="shared" si="1"/>
        <v/>
      </c>
      <c r="I38" s="2"/>
      <c r="J38" s="2"/>
    </row>
    <row r="39" spans="1:10" ht="42" customHeight="1">
      <c r="A39" s="2"/>
      <c r="B39" s="2"/>
      <c r="C39" s="2"/>
      <c r="D39" s="2"/>
      <c r="E39" s="2"/>
      <c r="F39" s="2"/>
      <c r="G39" s="2" t="str">
        <f>IF(A39="","",ROUND((IFERROR(INDEX('Проблемы клиентов'!$K$5:$K$104,MATCH(B39,'Проблемы клиентов'!$A$5:$A$104,0)),0)*0.3+IFERROR(INDEX('Ценностные предложения'!$K$5:$K$104,MATCH(C39,'Ценностные предложения'!$A$5:$A$104,0)),0)*0.15+IFERROR(INDEX('Цифровой товар'!$K$5:$K$104,MATCH(D39,'Цифровой товар'!$A$5:$A$104,0)),0)*0.2+IFERROR(INDEX('Единица монетизации'!$M$5:$M$104,MATCH(E39,'Единица монетизации'!$A$5:$A$104,0)),0)*0.2+IFERROR(INDEX('Бизнес-модель'!$L$5:$L$104,MATCH(F39,'Бизнес-модель'!$A$5:$A$104,0)),0)*0.15),0))</f>
        <v/>
      </c>
      <c r="H39" s="2" t="str">
        <f t="shared" si="1"/>
        <v/>
      </c>
      <c r="I39" s="2"/>
      <c r="J39" s="2"/>
    </row>
    <row r="40" spans="1:10" ht="42" customHeight="1">
      <c r="A40" s="2"/>
      <c r="B40" s="2"/>
      <c r="C40" s="2"/>
      <c r="D40" s="2"/>
      <c r="E40" s="2"/>
      <c r="F40" s="2"/>
      <c r="G40" s="2" t="str">
        <f>IF(A40="","",ROUND((IFERROR(INDEX('Проблемы клиентов'!$K$5:$K$104,MATCH(B40,'Проблемы клиентов'!$A$5:$A$104,0)),0)*0.3+IFERROR(INDEX('Ценностные предложения'!$K$5:$K$104,MATCH(C40,'Ценностные предложения'!$A$5:$A$104,0)),0)*0.15+IFERROR(INDEX('Цифровой товар'!$K$5:$K$104,MATCH(D40,'Цифровой товар'!$A$5:$A$104,0)),0)*0.2+IFERROR(INDEX('Единица монетизации'!$M$5:$M$104,MATCH(E40,'Единица монетизации'!$A$5:$A$104,0)),0)*0.2+IFERROR(INDEX('Бизнес-модель'!$L$5:$L$104,MATCH(F40,'Бизнес-модель'!$A$5:$A$104,0)),0)*0.15),0))</f>
        <v/>
      </c>
      <c r="H40" s="2" t="str">
        <f t="shared" si="1"/>
        <v/>
      </c>
      <c r="I40" s="2"/>
      <c r="J40" s="2"/>
    </row>
    <row r="41" spans="1:10" ht="42" customHeight="1">
      <c r="A41" s="2"/>
      <c r="B41" s="2"/>
      <c r="C41" s="2"/>
      <c r="D41" s="2"/>
      <c r="E41" s="2"/>
      <c r="F41" s="2"/>
      <c r="G41" s="2" t="str">
        <f>IF(A41="","",ROUND((IFERROR(INDEX('Проблемы клиентов'!$K$5:$K$104,MATCH(B41,'Проблемы клиентов'!$A$5:$A$104,0)),0)*0.3+IFERROR(INDEX('Ценностные предложения'!$K$5:$K$104,MATCH(C41,'Ценностные предложения'!$A$5:$A$104,0)),0)*0.15+IFERROR(INDEX('Цифровой товар'!$K$5:$K$104,MATCH(D41,'Цифровой товар'!$A$5:$A$104,0)),0)*0.2+IFERROR(INDEX('Единица монетизации'!$M$5:$M$104,MATCH(E41,'Единица монетизации'!$A$5:$A$104,0)),0)*0.2+IFERROR(INDEX('Бизнес-модель'!$L$5:$L$104,MATCH(F41,'Бизнес-модель'!$A$5:$A$104,0)),0)*0.15),0))</f>
        <v/>
      </c>
      <c r="H41" s="2" t="str">
        <f t="shared" si="1"/>
        <v/>
      </c>
      <c r="I41" s="2"/>
      <c r="J41" s="2"/>
    </row>
    <row r="42" spans="1:10" ht="42" customHeight="1">
      <c r="A42" s="2"/>
      <c r="B42" s="2"/>
      <c r="C42" s="2"/>
      <c r="D42" s="2"/>
      <c r="E42" s="2"/>
      <c r="F42" s="2"/>
      <c r="G42" s="2" t="str">
        <f>IF(A42="","",ROUND((IFERROR(INDEX('Проблемы клиентов'!$K$5:$K$104,MATCH(B42,'Проблемы клиентов'!$A$5:$A$104,0)),0)*0.3+IFERROR(INDEX('Ценностные предложения'!$K$5:$K$104,MATCH(C42,'Ценностные предложения'!$A$5:$A$104,0)),0)*0.15+IFERROR(INDEX('Цифровой товар'!$K$5:$K$104,MATCH(D42,'Цифровой товар'!$A$5:$A$104,0)),0)*0.2+IFERROR(INDEX('Единица монетизации'!$M$5:$M$104,MATCH(E42,'Единица монетизации'!$A$5:$A$104,0)),0)*0.2+IFERROR(INDEX('Бизнес-модель'!$L$5:$L$104,MATCH(F42,'Бизнес-модель'!$A$5:$A$104,0)),0)*0.15),0))</f>
        <v/>
      </c>
      <c r="H42" s="2" t="str">
        <f t="shared" si="1"/>
        <v/>
      </c>
      <c r="I42" s="2"/>
      <c r="J42" s="2"/>
    </row>
    <row r="43" spans="1:10" ht="42" customHeight="1">
      <c r="A43" s="2"/>
      <c r="B43" s="2"/>
      <c r="C43" s="2"/>
      <c r="D43" s="2"/>
      <c r="E43" s="2"/>
      <c r="F43" s="2"/>
      <c r="G43" s="2" t="str">
        <f>IF(A43="","",ROUND((IFERROR(INDEX('Проблемы клиентов'!$K$5:$K$104,MATCH(B43,'Проблемы клиентов'!$A$5:$A$104,0)),0)*0.3+IFERROR(INDEX('Ценностные предложения'!$K$5:$K$104,MATCH(C43,'Ценностные предложения'!$A$5:$A$104,0)),0)*0.15+IFERROR(INDEX('Цифровой товар'!$K$5:$K$104,MATCH(D43,'Цифровой товар'!$A$5:$A$104,0)),0)*0.2+IFERROR(INDEX('Единица монетизации'!$M$5:$M$104,MATCH(E43,'Единица монетизации'!$A$5:$A$104,0)),0)*0.2+IFERROR(INDEX('Бизнес-модель'!$L$5:$L$104,MATCH(F43,'Бизнес-модель'!$A$5:$A$104,0)),0)*0.15),0))</f>
        <v/>
      </c>
      <c r="H43" s="2" t="str">
        <f t="shared" si="1"/>
        <v/>
      </c>
      <c r="I43" s="2"/>
      <c r="J43" s="2"/>
    </row>
    <row r="44" spans="1:10" ht="42" customHeight="1">
      <c r="A44" s="2"/>
      <c r="B44" s="2"/>
      <c r="C44" s="2"/>
      <c r="D44" s="2"/>
      <c r="E44" s="2"/>
      <c r="F44" s="2"/>
      <c r="G44" s="2" t="str">
        <f>IF(A44="","",ROUND((IFERROR(INDEX('Проблемы клиентов'!$K$5:$K$104,MATCH(B44,'Проблемы клиентов'!$A$5:$A$104,0)),0)*0.3+IFERROR(INDEX('Ценностные предложения'!$K$5:$K$104,MATCH(C44,'Ценностные предложения'!$A$5:$A$104,0)),0)*0.15+IFERROR(INDEX('Цифровой товар'!$K$5:$K$104,MATCH(D44,'Цифровой товар'!$A$5:$A$104,0)),0)*0.2+IFERROR(INDEX('Единица монетизации'!$M$5:$M$104,MATCH(E44,'Единица монетизации'!$A$5:$A$104,0)),0)*0.2+IFERROR(INDEX('Бизнес-модель'!$L$5:$L$104,MATCH(F44,'Бизнес-модель'!$A$5:$A$104,0)),0)*0.15),0))</f>
        <v/>
      </c>
      <c r="H44" s="2" t="str">
        <f t="shared" si="1"/>
        <v/>
      </c>
      <c r="I44" s="2"/>
      <c r="J44" s="2"/>
    </row>
    <row r="45" spans="1:10" ht="42" customHeight="1">
      <c r="A45" s="2"/>
      <c r="B45" s="2"/>
      <c r="C45" s="2"/>
      <c r="D45" s="2"/>
      <c r="E45" s="2"/>
      <c r="F45" s="2"/>
      <c r="G45" s="2" t="str">
        <f>IF(A45="","",ROUND((IFERROR(INDEX('Проблемы клиентов'!$K$5:$K$104,MATCH(B45,'Проблемы клиентов'!$A$5:$A$104,0)),0)*0.3+IFERROR(INDEX('Ценностные предложения'!$K$5:$K$104,MATCH(C45,'Ценностные предложения'!$A$5:$A$104,0)),0)*0.15+IFERROR(INDEX('Цифровой товар'!$K$5:$K$104,MATCH(D45,'Цифровой товар'!$A$5:$A$104,0)),0)*0.2+IFERROR(INDEX('Единица монетизации'!$M$5:$M$104,MATCH(E45,'Единица монетизации'!$A$5:$A$104,0)),0)*0.2+IFERROR(INDEX('Бизнес-модель'!$L$5:$L$104,MATCH(F45,'Бизнес-модель'!$A$5:$A$104,0)),0)*0.15),0))</f>
        <v/>
      </c>
      <c r="H45" s="2" t="str">
        <f t="shared" si="1"/>
        <v/>
      </c>
      <c r="I45" s="2"/>
      <c r="J45" s="2"/>
    </row>
    <row r="46" spans="1:10" ht="42" customHeight="1">
      <c r="A46" s="2"/>
      <c r="B46" s="2"/>
      <c r="C46" s="2"/>
      <c r="D46" s="2"/>
      <c r="E46" s="2"/>
      <c r="F46" s="2"/>
      <c r="G46" s="2" t="str">
        <f>IF(A46="","",ROUND((IFERROR(INDEX('Проблемы клиентов'!$K$5:$K$104,MATCH(B46,'Проблемы клиентов'!$A$5:$A$104,0)),0)*0.3+IFERROR(INDEX('Ценностные предложения'!$K$5:$K$104,MATCH(C46,'Ценностные предложения'!$A$5:$A$104,0)),0)*0.15+IFERROR(INDEX('Цифровой товар'!$K$5:$K$104,MATCH(D46,'Цифровой товар'!$A$5:$A$104,0)),0)*0.2+IFERROR(INDEX('Единица монетизации'!$M$5:$M$104,MATCH(E46,'Единица монетизации'!$A$5:$A$104,0)),0)*0.2+IFERROR(INDEX('Бизнес-модель'!$L$5:$L$104,MATCH(F46,'Бизнес-модель'!$A$5:$A$104,0)),0)*0.15),0))</f>
        <v/>
      </c>
      <c r="H46" s="2" t="str">
        <f t="shared" si="1"/>
        <v/>
      </c>
      <c r="I46" s="2"/>
      <c r="J46" s="2"/>
    </row>
    <row r="47" spans="1:10" ht="42" customHeight="1">
      <c r="A47" s="2"/>
      <c r="B47" s="2"/>
      <c r="C47" s="2"/>
      <c r="D47" s="2"/>
      <c r="E47" s="2"/>
      <c r="F47" s="2"/>
      <c r="G47" s="2" t="str">
        <f>IF(A47="","",ROUND((IFERROR(INDEX('Проблемы клиентов'!$K$5:$K$104,MATCH(B47,'Проблемы клиентов'!$A$5:$A$104,0)),0)*0.3+IFERROR(INDEX('Ценностные предложения'!$K$5:$K$104,MATCH(C47,'Ценностные предложения'!$A$5:$A$104,0)),0)*0.15+IFERROR(INDEX('Цифровой товар'!$K$5:$K$104,MATCH(D47,'Цифровой товар'!$A$5:$A$104,0)),0)*0.2+IFERROR(INDEX('Единица монетизации'!$M$5:$M$104,MATCH(E47,'Единица монетизации'!$A$5:$A$104,0)),0)*0.2+IFERROR(INDEX('Бизнес-модель'!$L$5:$L$104,MATCH(F47,'Бизнес-модель'!$A$5:$A$104,0)),0)*0.15),0))</f>
        <v/>
      </c>
      <c r="H47" s="2" t="str">
        <f t="shared" si="1"/>
        <v/>
      </c>
      <c r="I47" s="2"/>
      <c r="J47" s="2"/>
    </row>
    <row r="48" spans="1:10" ht="42" customHeight="1">
      <c r="A48" s="2"/>
      <c r="B48" s="2"/>
      <c r="C48" s="2"/>
      <c r="D48" s="2"/>
      <c r="E48" s="2"/>
      <c r="F48" s="2"/>
      <c r="G48" s="2" t="str">
        <f>IF(A48="","",ROUND((IFERROR(INDEX('Проблемы клиентов'!$K$5:$K$104,MATCH(B48,'Проблемы клиентов'!$A$5:$A$104,0)),0)*0.3+IFERROR(INDEX('Ценностные предложения'!$K$5:$K$104,MATCH(C48,'Ценностные предложения'!$A$5:$A$104,0)),0)*0.15+IFERROR(INDEX('Цифровой товар'!$K$5:$K$104,MATCH(D48,'Цифровой товар'!$A$5:$A$104,0)),0)*0.2+IFERROR(INDEX('Единица монетизации'!$M$5:$M$104,MATCH(E48,'Единица монетизации'!$A$5:$A$104,0)),0)*0.2+IFERROR(INDEX('Бизнес-модель'!$L$5:$L$104,MATCH(F48,'Бизнес-модель'!$A$5:$A$104,0)),0)*0.15),0))</f>
        <v/>
      </c>
      <c r="H48" s="2" t="str">
        <f t="shared" si="1"/>
        <v/>
      </c>
      <c r="I48" s="2"/>
      <c r="J48" s="2"/>
    </row>
    <row r="49" spans="1:10" ht="42" customHeight="1">
      <c r="A49" s="2"/>
      <c r="B49" s="2"/>
      <c r="C49" s="2"/>
      <c r="D49" s="2"/>
      <c r="E49" s="2"/>
      <c r="F49" s="2"/>
      <c r="G49" s="2" t="str">
        <f>IF(A49="","",ROUND((IFERROR(INDEX('Проблемы клиентов'!$K$5:$K$104,MATCH(B49,'Проблемы клиентов'!$A$5:$A$104,0)),0)*0.3+IFERROR(INDEX('Ценностные предложения'!$K$5:$K$104,MATCH(C49,'Ценностные предложения'!$A$5:$A$104,0)),0)*0.15+IFERROR(INDEX('Цифровой товар'!$K$5:$K$104,MATCH(D49,'Цифровой товар'!$A$5:$A$104,0)),0)*0.2+IFERROR(INDEX('Единица монетизации'!$M$5:$M$104,MATCH(E49,'Единица монетизации'!$A$5:$A$104,0)),0)*0.2+IFERROR(INDEX('Бизнес-модель'!$L$5:$L$104,MATCH(F49,'Бизнес-модель'!$A$5:$A$104,0)),0)*0.15),0))</f>
        <v/>
      </c>
      <c r="H49" s="2" t="str">
        <f t="shared" si="1"/>
        <v/>
      </c>
      <c r="I49" s="2"/>
      <c r="J49" s="2"/>
    </row>
    <row r="50" spans="1:10" ht="42" customHeight="1">
      <c r="A50" s="2"/>
      <c r="B50" s="2"/>
      <c r="C50" s="2"/>
      <c r="D50" s="2"/>
      <c r="E50" s="2"/>
      <c r="F50" s="2"/>
      <c r="G50" s="2" t="str">
        <f>IF(A50="","",ROUND((IFERROR(INDEX('Проблемы клиентов'!$K$5:$K$104,MATCH(B50,'Проблемы клиентов'!$A$5:$A$104,0)),0)*0.3+IFERROR(INDEX('Ценностные предложения'!$K$5:$K$104,MATCH(C50,'Ценностные предложения'!$A$5:$A$104,0)),0)*0.15+IFERROR(INDEX('Цифровой товар'!$K$5:$K$104,MATCH(D50,'Цифровой товар'!$A$5:$A$104,0)),0)*0.2+IFERROR(INDEX('Единица монетизации'!$M$5:$M$104,MATCH(E50,'Единица монетизации'!$A$5:$A$104,0)),0)*0.2+IFERROR(INDEX('Бизнес-модель'!$L$5:$L$104,MATCH(F50,'Бизнес-модель'!$A$5:$A$104,0)),0)*0.15),0))</f>
        <v/>
      </c>
      <c r="H50" s="2" t="str">
        <f t="shared" si="1"/>
        <v/>
      </c>
      <c r="I50" s="2"/>
      <c r="J50" s="2"/>
    </row>
    <row r="51" spans="1:10" ht="42" customHeight="1">
      <c r="A51" s="2"/>
      <c r="B51" s="2"/>
      <c r="C51" s="2"/>
      <c r="D51" s="2"/>
      <c r="E51" s="2"/>
      <c r="F51" s="2"/>
      <c r="G51" s="2" t="str">
        <f>IF(A51="","",ROUND((IFERROR(INDEX('Проблемы клиентов'!$K$5:$K$104,MATCH(B51,'Проблемы клиентов'!$A$5:$A$104,0)),0)*0.3+IFERROR(INDEX('Ценностные предложения'!$K$5:$K$104,MATCH(C51,'Ценностные предложения'!$A$5:$A$104,0)),0)*0.15+IFERROR(INDEX('Цифровой товар'!$K$5:$K$104,MATCH(D51,'Цифровой товар'!$A$5:$A$104,0)),0)*0.2+IFERROR(INDEX('Единица монетизации'!$M$5:$M$104,MATCH(E51,'Единица монетизации'!$A$5:$A$104,0)),0)*0.2+IFERROR(INDEX('Бизнес-модель'!$L$5:$L$104,MATCH(F51,'Бизнес-модель'!$A$5:$A$104,0)),0)*0.15),0))</f>
        <v/>
      </c>
      <c r="H51" s="2" t="str">
        <f t="shared" si="1"/>
        <v/>
      </c>
      <c r="I51" s="2"/>
      <c r="J51" s="2"/>
    </row>
    <row r="52" spans="1:10" ht="42" customHeight="1">
      <c r="A52" s="2"/>
      <c r="B52" s="2"/>
      <c r="C52" s="2"/>
      <c r="D52" s="2"/>
      <c r="E52" s="2"/>
      <c r="F52" s="2"/>
      <c r="G52" s="2" t="str">
        <f>IF(A52="","",ROUND((IFERROR(INDEX('Проблемы клиентов'!$K$5:$K$104,MATCH(B52,'Проблемы клиентов'!$A$5:$A$104,0)),0)*0.3+IFERROR(INDEX('Ценностные предложения'!$K$5:$K$104,MATCH(C52,'Ценностные предложения'!$A$5:$A$104,0)),0)*0.15+IFERROR(INDEX('Цифровой товар'!$K$5:$K$104,MATCH(D52,'Цифровой товар'!$A$5:$A$104,0)),0)*0.2+IFERROR(INDEX('Единица монетизации'!$M$5:$M$104,MATCH(E52,'Единица монетизации'!$A$5:$A$104,0)),0)*0.2+IFERROR(INDEX('Бизнес-модель'!$L$5:$L$104,MATCH(F52,'Бизнес-модель'!$A$5:$A$104,0)),0)*0.15),0))</f>
        <v/>
      </c>
      <c r="H52" s="2" t="str">
        <f t="shared" si="1"/>
        <v/>
      </c>
      <c r="I52" s="2"/>
      <c r="J52" s="2"/>
    </row>
    <row r="53" spans="1:10" ht="42" customHeight="1">
      <c r="A53" s="2"/>
      <c r="B53" s="2"/>
      <c r="C53" s="2"/>
      <c r="D53" s="2"/>
      <c r="E53" s="2"/>
      <c r="F53" s="2"/>
      <c r="G53" s="2" t="str">
        <f>IF(A53="","",ROUND((IFERROR(INDEX('Проблемы клиентов'!$K$5:$K$104,MATCH(B53,'Проблемы клиентов'!$A$5:$A$104,0)),0)*0.3+IFERROR(INDEX('Ценностные предложения'!$K$5:$K$104,MATCH(C53,'Ценностные предложения'!$A$5:$A$104,0)),0)*0.15+IFERROR(INDEX('Цифровой товар'!$K$5:$K$104,MATCH(D53,'Цифровой товар'!$A$5:$A$104,0)),0)*0.2+IFERROR(INDEX('Единица монетизации'!$M$5:$M$104,MATCH(E53,'Единица монетизации'!$A$5:$A$104,0)),0)*0.2+IFERROR(INDEX('Бизнес-модель'!$L$5:$L$104,MATCH(F53,'Бизнес-модель'!$A$5:$A$104,0)),0)*0.15),0))</f>
        <v/>
      </c>
      <c r="H53" s="2" t="str">
        <f t="shared" si="1"/>
        <v/>
      </c>
      <c r="I53" s="2"/>
      <c r="J53" s="2"/>
    </row>
    <row r="54" spans="1:10" ht="42" customHeight="1">
      <c r="A54" s="2"/>
      <c r="B54" s="2"/>
      <c r="C54" s="2"/>
      <c r="D54" s="2"/>
      <c r="E54" s="2"/>
      <c r="F54" s="2"/>
      <c r="G54" s="2" t="str">
        <f>IF(A54="","",ROUND((IFERROR(INDEX('Проблемы клиентов'!$K$5:$K$104,MATCH(B54,'Проблемы клиентов'!$A$5:$A$104,0)),0)*0.3+IFERROR(INDEX('Ценностные предложения'!$K$5:$K$104,MATCH(C54,'Ценностные предложения'!$A$5:$A$104,0)),0)*0.15+IFERROR(INDEX('Цифровой товар'!$K$5:$K$104,MATCH(D54,'Цифровой товар'!$A$5:$A$104,0)),0)*0.2+IFERROR(INDEX('Единица монетизации'!$M$5:$M$104,MATCH(E54,'Единица монетизации'!$A$5:$A$104,0)),0)*0.2+IFERROR(INDEX('Бизнес-модель'!$L$5:$L$104,MATCH(F54,'Бизнес-модель'!$A$5:$A$104,0)),0)*0.15),0))</f>
        <v/>
      </c>
      <c r="H54" s="2" t="str">
        <f t="shared" si="1"/>
        <v/>
      </c>
      <c r="I54" s="2"/>
      <c r="J54" s="2"/>
    </row>
    <row r="55" spans="1:10" ht="42" customHeight="1">
      <c r="A55" s="2"/>
      <c r="B55" s="2"/>
      <c r="C55" s="2"/>
      <c r="D55" s="2"/>
      <c r="E55" s="2"/>
      <c r="F55" s="2"/>
      <c r="G55" s="2" t="str">
        <f>IF(A55="","",ROUND((IFERROR(INDEX('Проблемы клиентов'!$K$5:$K$104,MATCH(B55,'Проблемы клиентов'!$A$5:$A$104,0)),0)*0.3+IFERROR(INDEX('Ценностные предложения'!$K$5:$K$104,MATCH(C55,'Ценностные предложения'!$A$5:$A$104,0)),0)*0.15+IFERROR(INDEX('Цифровой товар'!$K$5:$K$104,MATCH(D55,'Цифровой товар'!$A$5:$A$104,0)),0)*0.2+IFERROR(INDEX('Единица монетизации'!$M$5:$M$104,MATCH(E55,'Единица монетизации'!$A$5:$A$104,0)),0)*0.2+IFERROR(INDEX('Бизнес-модель'!$L$5:$L$104,MATCH(F55,'Бизнес-модель'!$A$5:$A$104,0)),0)*0.15),0))</f>
        <v/>
      </c>
      <c r="H55" s="2" t="str">
        <f t="shared" si="1"/>
        <v/>
      </c>
      <c r="I55" s="2"/>
      <c r="J55" s="2"/>
    </row>
    <row r="56" spans="1:10" ht="42" customHeight="1">
      <c r="A56" s="2"/>
      <c r="B56" s="2"/>
      <c r="C56" s="2"/>
      <c r="D56" s="2"/>
      <c r="E56" s="2"/>
      <c r="F56" s="2"/>
      <c r="G56" s="2" t="str">
        <f>IF(A56="","",ROUND((IFERROR(INDEX('Проблемы клиентов'!$K$5:$K$104,MATCH(B56,'Проблемы клиентов'!$A$5:$A$104,0)),0)*0.3+IFERROR(INDEX('Ценностные предложения'!$K$5:$K$104,MATCH(C56,'Ценностные предложения'!$A$5:$A$104,0)),0)*0.15+IFERROR(INDEX('Цифровой товар'!$K$5:$K$104,MATCH(D56,'Цифровой товар'!$A$5:$A$104,0)),0)*0.2+IFERROR(INDEX('Единица монетизации'!$M$5:$M$104,MATCH(E56,'Единица монетизации'!$A$5:$A$104,0)),0)*0.2+IFERROR(INDEX('Бизнес-модель'!$L$5:$L$104,MATCH(F56,'Бизнес-модель'!$A$5:$A$104,0)),0)*0.15),0))</f>
        <v/>
      </c>
      <c r="H56" s="2" t="str">
        <f t="shared" si="1"/>
        <v/>
      </c>
      <c r="I56" s="2"/>
      <c r="J56" s="2"/>
    </row>
    <row r="57" spans="1:10" ht="42" customHeight="1">
      <c r="A57" s="2"/>
      <c r="B57" s="2"/>
      <c r="C57" s="2"/>
      <c r="D57" s="2"/>
      <c r="E57" s="2"/>
      <c r="F57" s="2"/>
      <c r="G57" s="2" t="str">
        <f>IF(A57="","",ROUND((IFERROR(INDEX('Проблемы клиентов'!$K$5:$K$104,MATCH(B57,'Проблемы клиентов'!$A$5:$A$104,0)),0)*0.3+IFERROR(INDEX('Ценностные предложения'!$K$5:$K$104,MATCH(C57,'Ценностные предложения'!$A$5:$A$104,0)),0)*0.15+IFERROR(INDEX('Цифровой товар'!$K$5:$K$104,MATCH(D57,'Цифровой товар'!$A$5:$A$104,0)),0)*0.2+IFERROR(INDEX('Единица монетизации'!$M$5:$M$104,MATCH(E57,'Единица монетизации'!$A$5:$A$104,0)),0)*0.2+IFERROR(INDEX('Бизнес-модель'!$L$5:$L$104,MATCH(F57,'Бизнес-модель'!$A$5:$A$104,0)),0)*0.15),0))</f>
        <v/>
      </c>
      <c r="H57" s="2" t="str">
        <f t="shared" si="1"/>
        <v/>
      </c>
      <c r="I57" s="2"/>
      <c r="J57" s="2"/>
    </row>
    <row r="58" spans="1:10" ht="42" customHeight="1">
      <c r="A58" s="2"/>
      <c r="B58" s="2"/>
      <c r="C58" s="2"/>
      <c r="D58" s="2"/>
      <c r="E58" s="2"/>
      <c r="F58" s="2"/>
      <c r="G58" s="2" t="str">
        <f>IF(A58="","",ROUND((IFERROR(INDEX('Проблемы клиентов'!$K$5:$K$104,MATCH(B58,'Проблемы клиентов'!$A$5:$A$104,0)),0)*0.3+IFERROR(INDEX('Ценностные предложения'!$K$5:$K$104,MATCH(C58,'Ценностные предложения'!$A$5:$A$104,0)),0)*0.15+IFERROR(INDEX('Цифровой товар'!$K$5:$K$104,MATCH(D58,'Цифровой товар'!$A$5:$A$104,0)),0)*0.2+IFERROR(INDEX('Единица монетизации'!$M$5:$M$104,MATCH(E58,'Единица монетизации'!$A$5:$A$104,0)),0)*0.2+IFERROR(INDEX('Бизнес-модель'!$L$5:$L$104,MATCH(F58,'Бизнес-модель'!$A$5:$A$104,0)),0)*0.15),0))</f>
        <v/>
      </c>
      <c r="H58" s="2" t="str">
        <f t="shared" si="1"/>
        <v/>
      </c>
      <c r="I58" s="2"/>
      <c r="J58" s="2"/>
    </row>
    <row r="59" spans="1:10" ht="42" customHeight="1">
      <c r="A59" s="2"/>
      <c r="B59" s="2"/>
      <c r="C59" s="2"/>
      <c r="D59" s="2"/>
      <c r="E59" s="2"/>
      <c r="F59" s="2"/>
      <c r="G59" s="2" t="str">
        <f>IF(A59="","",ROUND((IFERROR(INDEX('Проблемы клиентов'!$K$5:$K$104,MATCH(B59,'Проблемы клиентов'!$A$5:$A$104,0)),0)*0.3+IFERROR(INDEX('Ценностные предложения'!$K$5:$K$104,MATCH(C59,'Ценностные предложения'!$A$5:$A$104,0)),0)*0.15+IFERROR(INDEX('Цифровой товар'!$K$5:$K$104,MATCH(D59,'Цифровой товар'!$A$5:$A$104,0)),0)*0.2+IFERROR(INDEX('Единица монетизации'!$M$5:$M$104,MATCH(E59,'Единица монетизации'!$A$5:$A$104,0)),0)*0.2+IFERROR(INDEX('Бизнес-модель'!$L$5:$L$104,MATCH(F59,'Бизнес-модель'!$A$5:$A$104,0)),0)*0.15),0))</f>
        <v/>
      </c>
      <c r="H59" s="2" t="str">
        <f t="shared" si="1"/>
        <v/>
      </c>
      <c r="I59" s="2"/>
      <c r="J59" s="2"/>
    </row>
    <row r="60" spans="1:10" ht="42" customHeight="1">
      <c r="A60" s="2"/>
      <c r="B60" s="2"/>
      <c r="C60" s="2"/>
      <c r="D60" s="2"/>
      <c r="E60" s="2"/>
      <c r="F60" s="2"/>
      <c r="G60" s="2" t="str">
        <f>IF(A60="","",ROUND((IFERROR(INDEX('Проблемы клиентов'!$K$5:$K$104,MATCH(B60,'Проблемы клиентов'!$A$5:$A$104,0)),0)*0.3+IFERROR(INDEX('Ценностные предложения'!$K$5:$K$104,MATCH(C60,'Ценностные предложения'!$A$5:$A$104,0)),0)*0.15+IFERROR(INDEX('Цифровой товар'!$K$5:$K$104,MATCH(D60,'Цифровой товар'!$A$5:$A$104,0)),0)*0.2+IFERROR(INDEX('Единица монетизации'!$M$5:$M$104,MATCH(E60,'Единица монетизации'!$A$5:$A$104,0)),0)*0.2+IFERROR(INDEX('Бизнес-модель'!$L$5:$L$104,MATCH(F60,'Бизнес-модель'!$A$5:$A$104,0)),0)*0.15),0))</f>
        <v/>
      </c>
      <c r="H60" s="2" t="str">
        <f t="shared" si="1"/>
        <v/>
      </c>
      <c r="I60" s="2"/>
      <c r="J60" s="2"/>
    </row>
    <row r="61" spans="1:10" ht="42" customHeight="1">
      <c r="A61" s="2"/>
      <c r="B61" s="2"/>
      <c r="C61" s="2"/>
      <c r="D61" s="2"/>
      <c r="E61" s="2"/>
      <c r="F61" s="2"/>
      <c r="G61" s="2" t="str">
        <f>IF(A61="","",ROUND((IFERROR(INDEX('Проблемы клиентов'!$K$5:$K$104,MATCH(B61,'Проблемы клиентов'!$A$5:$A$104,0)),0)*0.3+IFERROR(INDEX('Ценностные предложения'!$K$5:$K$104,MATCH(C61,'Ценностные предложения'!$A$5:$A$104,0)),0)*0.15+IFERROR(INDEX('Цифровой товар'!$K$5:$K$104,MATCH(D61,'Цифровой товар'!$A$5:$A$104,0)),0)*0.2+IFERROR(INDEX('Единица монетизации'!$M$5:$M$104,MATCH(E61,'Единица монетизации'!$A$5:$A$104,0)),0)*0.2+IFERROR(INDEX('Бизнес-модель'!$L$5:$L$104,MATCH(F61,'Бизнес-модель'!$A$5:$A$104,0)),0)*0.15),0))</f>
        <v/>
      </c>
      <c r="H61" s="2" t="str">
        <f t="shared" si="1"/>
        <v/>
      </c>
      <c r="I61" s="2"/>
      <c r="J61" s="2"/>
    </row>
    <row r="62" spans="1:10" ht="42" customHeight="1">
      <c r="A62" s="2"/>
      <c r="B62" s="2"/>
      <c r="C62" s="2"/>
      <c r="D62" s="2"/>
      <c r="E62" s="2"/>
      <c r="F62" s="2"/>
      <c r="G62" s="2" t="str">
        <f>IF(A62="","",ROUND((IFERROR(INDEX('Проблемы клиентов'!$K$5:$K$104,MATCH(B62,'Проблемы клиентов'!$A$5:$A$104,0)),0)*0.3+IFERROR(INDEX('Ценностные предложения'!$K$5:$K$104,MATCH(C62,'Ценностные предложения'!$A$5:$A$104,0)),0)*0.15+IFERROR(INDEX('Цифровой товар'!$K$5:$K$104,MATCH(D62,'Цифровой товар'!$A$5:$A$104,0)),0)*0.2+IFERROR(INDEX('Единица монетизации'!$M$5:$M$104,MATCH(E62,'Единица монетизации'!$A$5:$A$104,0)),0)*0.2+IFERROR(INDEX('Бизнес-модель'!$L$5:$L$104,MATCH(F62,'Бизнес-модель'!$A$5:$A$104,0)),0)*0.15),0))</f>
        <v/>
      </c>
      <c r="H62" s="2" t="str">
        <f t="shared" si="1"/>
        <v/>
      </c>
      <c r="I62" s="2"/>
      <c r="J62" s="2"/>
    </row>
    <row r="63" spans="1:10" ht="42" customHeight="1">
      <c r="A63" s="2"/>
      <c r="B63" s="2"/>
      <c r="C63" s="2"/>
      <c r="D63" s="2"/>
      <c r="E63" s="2"/>
      <c r="F63" s="2"/>
      <c r="G63" s="2" t="str">
        <f>IF(A63="","",ROUND((IFERROR(INDEX('Проблемы клиентов'!$K$5:$K$104,MATCH(B63,'Проблемы клиентов'!$A$5:$A$104,0)),0)*0.3+IFERROR(INDEX('Ценностные предложения'!$K$5:$K$104,MATCH(C63,'Ценностные предложения'!$A$5:$A$104,0)),0)*0.15+IFERROR(INDEX('Цифровой товар'!$K$5:$K$104,MATCH(D63,'Цифровой товар'!$A$5:$A$104,0)),0)*0.2+IFERROR(INDEX('Единица монетизации'!$M$5:$M$104,MATCH(E63,'Единица монетизации'!$A$5:$A$104,0)),0)*0.2+IFERROR(INDEX('Бизнес-модель'!$L$5:$L$104,MATCH(F63,'Бизнес-модель'!$A$5:$A$104,0)),0)*0.15),0))</f>
        <v/>
      </c>
      <c r="H63" s="2" t="str">
        <f t="shared" si="1"/>
        <v/>
      </c>
      <c r="I63" s="2"/>
      <c r="J63" s="2"/>
    </row>
    <row r="64" spans="1:10" ht="42" customHeight="1">
      <c r="A64" s="2"/>
      <c r="B64" s="2"/>
      <c r="C64" s="2"/>
      <c r="D64" s="2"/>
      <c r="E64" s="2"/>
      <c r="F64" s="2"/>
      <c r="G64" s="2" t="str">
        <f>IF(A64="","",ROUND((IFERROR(INDEX('Проблемы клиентов'!$K$5:$K$104,MATCH(B64,'Проблемы клиентов'!$A$5:$A$104,0)),0)*0.3+IFERROR(INDEX('Ценностные предложения'!$K$5:$K$104,MATCH(C64,'Ценностные предложения'!$A$5:$A$104,0)),0)*0.15+IFERROR(INDEX('Цифровой товар'!$K$5:$K$104,MATCH(D64,'Цифровой товар'!$A$5:$A$104,0)),0)*0.2+IFERROR(INDEX('Единица монетизации'!$M$5:$M$104,MATCH(E64,'Единица монетизации'!$A$5:$A$104,0)),0)*0.2+IFERROR(INDEX('Бизнес-модель'!$L$5:$L$104,MATCH(F64,'Бизнес-модель'!$A$5:$A$104,0)),0)*0.15),0))</f>
        <v/>
      </c>
      <c r="H64" s="2" t="str">
        <f t="shared" si="1"/>
        <v/>
      </c>
      <c r="I64" s="2"/>
      <c r="J64" s="2"/>
    </row>
    <row r="65" spans="1:10" ht="42" customHeight="1">
      <c r="A65" s="2"/>
      <c r="B65" s="2"/>
      <c r="C65" s="2"/>
      <c r="D65" s="2"/>
      <c r="E65" s="2"/>
      <c r="F65" s="2"/>
      <c r="G65" s="2" t="str">
        <f>IF(A65="","",ROUND((IFERROR(INDEX('Проблемы клиентов'!$K$5:$K$104,MATCH(B65,'Проблемы клиентов'!$A$5:$A$104,0)),0)*0.3+IFERROR(INDEX('Ценностные предложения'!$K$5:$K$104,MATCH(C65,'Ценностные предложения'!$A$5:$A$104,0)),0)*0.15+IFERROR(INDEX('Цифровой товар'!$K$5:$K$104,MATCH(D65,'Цифровой товар'!$A$5:$A$104,0)),0)*0.2+IFERROR(INDEX('Единица монетизации'!$M$5:$M$104,MATCH(E65,'Единица монетизации'!$A$5:$A$104,0)),0)*0.2+IFERROR(INDEX('Бизнес-модель'!$L$5:$L$104,MATCH(F65,'Бизнес-модель'!$A$5:$A$104,0)),0)*0.15),0))</f>
        <v/>
      </c>
      <c r="H65" s="2" t="str">
        <f t="shared" si="1"/>
        <v/>
      </c>
      <c r="I65" s="2"/>
      <c r="J65" s="2"/>
    </row>
    <row r="66" spans="1:10" ht="42" customHeight="1">
      <c r="A66" s="2"/>
      <c r="B66" s="2"/>
      <c r="C66" s="2"/>
      <c r="D66" s="2"/>
      <c r="E66" s="2"/>
      <c r="F66" s="2"/>
      <c r="G66" s="2" t="str">
        <f>IF(A66="","",ROUND((IFERROR(INDEX('Проблемы клиентов'!$K$5:$K$104,MATCH(B66,'Проблемы клиентов'!$A$5:$A$104,0)),0)*0.3+IFERROR(INDEX('Ценностные предложения'!$K$5:$K$104,MATCH(C66,'Ценностные предложения'!$A$5:$A$104,0)),0)*0.15+IFERROR(INDEX('Цифровой товар'!$K$5:$K$104,MATCH(D66,'Цифровой товар'!$A$5:$A$104,0)),0)*0.2+IFERROR(INDEX('Единица монетизации'!$M$5:$M$104,MATCH(E66,'Единица монетизации'!$A$5:$A$104,0)),0)*0.2+IFERROR(INDEX('Бизнес-модель'!$L$5:$L$104,MATCH(F66,'Бизнес-модель'!$A$5:$A$104,0)),0)*0.15),0))</f>
        <v/>
      </c>
      <c r="H66" s="2" t="str">
        <f t="shared" si="1"/>
        <v/>
      </c>
      <c r="I66" s="2"/>
      <c r="J66" s="2"/>
    </row>
    <row r="67" spans="1:10" ht="42" customHeight="1">
      <c r="A67" s="2"/>
      <c r="B67" s="2"/>
      <c r="C67" s="2"/>
      <c r="D67" s="2"/>
      <c r="E67" s="2"/>
      <c r="F67" s="2"/>
      <c r="G67" s="2" t="str">
        <f>IF(A67="","",ROUND((IFERROR(INDEX('Проблемы клиентов'!$K$5:$K$104,MATCH(B67,'Проблемы клиентов'!$A$5:$A$104,0)),0)*0.3+IFERROR(INDEX('Ценностные предложения'!$K$5:$K$104,MATCH(C67,'Ценностные предложения'!$A$5:$A$104,0)),0)*0.15+IFERROR(INDEX('Цифровой товар'!$K$5:$K$104,MATCH(D67,'Цифровой товар'!$A$5:$A$104,0)),0)*0.2+IFERROR(INDEX('Единица монетизации'!$M$5:$M$104,MATCH(E67,'Единица монетизации'!$A$5:$A$104,0)),0)*0.2+IFERROR(INDEX('Бизнес-модель'!$L$5:$L$104,MATCH(F67,'Бизнес-модель'!$A$5:$A$104,0)),0)*0.15),0))</f>
        <v/>
      </c>
      <c r="H67" s="2" t="str">
        <f t="shared" si="1"/>
        <v/>
      </c>
      <c r="I67" s="2"/>
      <c r="J67" s="2"/>
    </row>
    <row r="68" spans="1:10" ht="42" customHeight="1">
      <c r="A68" s="2"/>
      <c r="B68" s="2"/>
      <c r="C68" s="2"/>
      <c r="D68" s="2"/>
      <c r="E68" s="2"/>
      <c r="F68" s="2"/>
      <c r="G68" s="2" t="str">
        <f>IF(A68="","",ROUND((IFERROR(INDEX('Проблемы клиентов'!$K$5:$K$104,MATCH(B68,'Проблемы клиентов'!$A$5:$A$104,0)),0)*0.3+IFERROR(INDEX('Ценностные предложения'!$K$5:$K$104,MATCH(C68,'Ценностные предложения'!$A$5:$A$104,0)),0)*0.15+IFERROR(INDEX('Цифровой товар'!$K$5:$K$104,MATCH(D68,'Цифровой товар'!$A$5:$A$104,0)),0)*0.2+IFERROR(INDEX('Единица монетизации'!$M$5:$M$104,MATCH(E68,'Единица монетизации'!$A$5:$A$104,0)),0)*0.2+IFERROR(INDEX('Бизнес-модель'!$L$5:$L$104,MATCH(F68,'Бизнес-модель'!$A$5:$A$104,0)),0)*0.15),0))</f>
        <v/>
      </c>
      <c r="H68" s="2" t="str">
        <f t="shared" si="1"/>
        <v/>
      </c>
      <c r="I68" s="2"/>
      <c r="J68" s="2"/>
    </row>
    <row r="69" spans="1:10" ht="42" customHeight="1">
      <c r="A69" s="2"/>
      <c r="B69" s="2"/>
      <c r="C69" s="2"/>
      <c r="D69" s="2"/>
      <c r="E69" s="2"/>
      <c r="F69" s="2"/>
      <c r="G69" s="2" t="str">
        <f>IF(A69="","",ROUND((IFERROR(INDEX('Проблемы клиентов'!$K$5:$K$104,MATCH(B69,'Проблемы клиентов'!$A$5:$A$104,0)),0)*0.3+IFERROR(INDEX('Ценностные предложения'!$K$5:$K$104,MATCH(C69,'Ценностные предложения'!$A$5:$A$104,0)),0)*0.15+IFERROR(INDEX('Цифровой товар'!$K$5:$K$104,MATCH(D69,'Цифровой товар'!$A$5:$A$104,0)),0)*0.2+IFERROR(INDEX('Единица монетизации'!$M$5:$M$104,MATCH(E69,'Единица монетизации'!$A$5:$A$104,0)),0)*0.2+IFERROR(INDEX('Бизнес-модель'!$L$5:$L$104,MATCH(F69,'Бизнес-модель'!$A$5:$A$104,0)),0)*0.15),0))</f>
        <v/>
      </c>
      <c r="H69" s="2" t="str">
        <f t="shared" ref="H69:H100" si="2">IF(G69="","",IF(G69&gt;=75,"Проходят проверку",IF(G69&gt;=55,"Требуется доработка","Недостаточно данных")))</f>
        <v/>
      </c>
      <c r="I69" s="2"/>
      <c r="J69" s="2"/>
    </row>
    <row r="70" spans="1:10" ht="42" customHeight="1">
      <c r="A70" s="2"/>
      <c r="B70" s="2"/>
      <c r="C70" s="2"/>
      <c r="D70" s="2"/>
      <c r="E70" s="2"/>
      <c r="F70" s="2"/>
      <c r="G70" s="2" t="str">
        <f>IF(A70="","",ROUND((IFERROR(INDEX('Проблемы клиентов'!$K$5:$K$104,MATCH(B70,'Проблемы клиентов'!$A$5:$A$104,0)),0)*0.3+IFERROR(INDEX('Ценностные предложения'!$K$5:$K$104,MATCH(C70,'Ценностные предложения'!$A$5:$A$104,0)),0)*0.15+IFERROR(INDEX('Цифровой товар'!$K$5:$K$104,MATCH(D70,'Цифровой товар'!$A$5:$A$104,0)),0)*0.2+IFERROR(INDEX('Единица монетизации'!$M$5:$M$104,MATCH(E70,'Единица монетизации'!$A$5:$A$104,0)),0)*0.2+IFERROR(INDEX('Бизнес-модель'!$L$5:$L$104,MATCH(F70,'Бизнес-модель'!$A$5:$A$104,0)),0)*0.15),0))</f>
        <v/>
      </c>
      <c r="H70" s="2" t="str">
        <f t="shared" si="2"/>
        <v/>
      </c>
      <c r="I70" s="2"/>
      <c r="J70" s="2"/>
    </row>
    <row r="71" spans="1:10" ht="42" customHeight="1">
      <c r="A71" s="2"/>
      <c r="B71" s="2"/>
      <c r="C71" s="2"/>
      <c r="D71" s="2"/>
      <c r="E71" s="2"/>
      <c r="F71" s="2"/>
      <c r="G71" s="2" t="str">
        <f>IF(A71="","",ROUND((IFERROR(INDEX('Проблемы клиентов'!$K$5:$K$104,MATCH(B71,'Проблемы клиентов'!$A$5:$A$104,0)),0)*0.3+IFERROR(INDEX('Ценностные предложения'!$K$5:$K$104,MATCH(C71,'Ценностные предложения'!$A$5:$A$104,0)),0)*0.15+IFERROR(INDEX('Цифровой товар'!$K$5:$K$104,MATCH(D71,'Цифровой товар'!$A$5:$A$104,0)),0)*0.2+IFERROR(INDEX('Единица монетизации'!$M$5:$M$104,MATCH(E71,'Единица монетизации'!$A$5:$A$104,0)),0)*0.2+IFERROR(INDEX('Бизнес-модель'!$L$5:$L$104,MATCH(F71,'Бизнес-модель'!$A$5:$A$104,0)),0)*0.15),0))</f>
        <v/>
      </c>
      <c r="H71" s="2" t="str">
        <f t="shared" si="2"/>
        <v/>
      </c>
      <c r="I71" s="2"/>
      <c r="J71" s="2"/>
    </row>
    <row r="72" spans="1:10" ht="42" customHeight="1">
      <c r="A72" s="2"/>
      <c r="B72" s="2"/>
      <c r="C72" s="2"/>
      <c r="D72" s="2"/>
      <c r="E72" s="2"/>
      <c r="F72" s="2"/>
      <c r="G72" s="2" t="str">
        <f>IF(A72="","",ROUND((IFERROR(INDEX('Проблемы клиентов'!$K$5:$K$104,MATCH(B72,'Проблемы клиентов'!$A$5:$A$104,0)),0)*0.3+IFERROR(INDEX('Ценностные предложения'!$K$5:$K$104,MATCH(C72,'Ценностные предложения'!$A$5:$A$104,0)),0)*0.15+IFERROR(INDEX('Цифровой товар'!$K$5:$K$104,MATCH(D72,'Цифровой товар'!$A$5:$A$104,0)),0)*0.2+IFERROR(INDEX('Единица монетизации'!$M$5:$M$104,MATCH(E72,'Единица монетизации'!$A$5:$A$104,0)),0)*0.2+IFERROR(INDEX('Бизнес-модель'!$L$5:$L$104,MATCH(F72,'Бизнес-модель'!$A$5:$A$104,0)),0)*0.15),0))</f>
        <v/>
      </c>
      <c r="H72" s="2" t="str">
        <f t="shared" si="2"/>
        <v/>
      </c>
      <c r="I72" s="2"/>
      <c r="J72" s="2"/>
    </row>
    <row r="73" spans="1:10" ht="42" customHeight="1">
      <c r="A73" s="2"/>
      <c r="B73" s="2"/>
      <c r="C73" s="2"/>
      <c r="D73" s="2"/>
      <c r="E73" s="2"/>
      <c r="F73" s="2"/>
      <c r="G73" s="2" t="str">
        <f>IF(A73="","",ROUND((IFERROR(INDEX('Проблемы клиентов'!$K$5:$K$104,MATCH(B73,'Проблемы клиентов'!$A$5:$A$104,0)),0)*0.3+IFERROR(INDEX('Ценностные предложения'!$K$5:$K$104,MATCH(C73,'Ценностные предложения'!$A$5:$A$104,0)),0)*0.15+IFERROR(INDEX('Цифровой товар'!$K$5:$K$104,MATCH(D73,'Цифровой товар'!$A$5:$A$104,0)),0)*0.2+IFERROR(INDEX('Единица монетизации'!$M$5:$M$104,MATCH(E73,'Единица монетизации'!$A$5:$A$104,0)),0)*0.2+IFERROR(INDEX('Бизнес-модель'!$L$5:$L$104,MATCH(F73,'Бизнес-модель'!$A$5:$A$104,0)),0)*0.15),0))</f>
        <v/>
      </c>
      <c r="H73" s="2" t="str">
        <f t="shared" si="2"/>
        <v/>
      </c>
      <c r="I73" s="2"/>
      <c r="J73" s="2"/>
    </row>
    <row r="74" spans="1:10" ht="42" customHeight="1">
      <c r="A74" s="2"/>
      <c r="B74" s="2"/>
      <c r="C74" s="2"/>
      <c r="D74" s="2"/>
      <c r="E74" s="2"/>
      <c r="F74" s="2"/>
      <c r="G74" s="2" t="str">
        <f>IF(A74="","",ROUND((IFERROR(INDEX('Проблемы клиентов'!$K$5:$K$104,MATCH(B74,'Проблемы клиентов'!$A$5:$A$104,0)),0)*0.3+IFERROR(INDEX('Ценностные предложения'!$K$5:$K$104,MATCH(C74,'Ценностные предложения'!$A$5:$A$104,0)),0)*0.15+IFERROR(INDEX('Цифровой товар'!$K$5:$K$104,MATCH(D74,'Цифровой товар'!$A$5:$A$104,0)),0)*0.2+IFERROR(INDEX('Единица монетизации'!$M$5:$M$104,MATCH(E74,'Единица монетизации'!$A$5:$A$104,0)),0)*0.2+IFERROR(INDEX('Бизнес-модель'!$L$5:$L$104,MATCH(F74,'Бизнес-модель'!$A$5:$A$104,0)),0)*0.15),0))</f>
        <v/>
      </c>
      <c r="H74" s="2" t="str">
        <f t="shared" si="2"/>
        <v/>
      </c>
      <c r="I74" s="2"/>
      <c r="J74" s="2"/>
    </row>
    <row r="75" spans="1:10" ht="42" customHeight="1">
      <c r="A75" s="2"/>
      <c r="B75" s="2"/>
      <c r="C75" s="2"/>
      <c r="D75" s="2"/>
      <c r="E75" s="2"/>
      <c r="F75" s="2"/>
      <c r="G75" s="2" t="str">
        <f>IF(A75="","",ROUND((IFERROR(INDEX('Проблемы клиентов'!$K$5:$K$104,MATCH(B75,'Проблемы клиентов'!$A$5:$A$104,0)),0)*0.3+IFERROR(INDEX('Ценностные предложения'!$K$5:$K$104,MATCH(C75,'Ценностные предложения'!$A$5:$A$104,0)),0)*0.15+IFERROR(INDEX('Цифровой товар'!$K$5:$K$104,MATCH(D75,'Цифровой товар'!$A$5:$A$104,0)),0)*0.2+IFERROR(INDEX('Единица монетизации'!$M$5:$M$104,MATCH(E75,'Единица монетизации'!$A$5:$A$104,0)),0)*0.2+IFERROR(INDEX('Бизнес-модель'!$L$5:$L$104,MATCH(F75,'Бизнес-модель'!$A$5:$A$104,0)),0)*0.15),0))</f>
        <v/>
      </c>
      <c r="H75" s="2" t="str">
        <f t="shared" si="2"/>
        <v/>
      </c>
      <c r="I75" s="2"/>
      <c r="J75" s="2"/>
    </row>
    <row r="76" spans="1:10" ht="42" customHeight="1">
      <c r="A76" s="2"/>
      <c r="B76" s="2"/>
      <c r="C76" s="2"/>
      <c r="D76" s="2"/>
      <c r="E76" s="2"/>
      <c r="F76" s="2"/>
      <c r="G76" s="2" t="str">
        <f>IF(A76="","",ROUND((IFERROR(INDEX('Проблемы клиентов'!$K$5:$K$104,MATCH(B76,'Проблемы клиентов'!$A$5:$A$104,0)),0)*0.3+IFERROR(INDEX('Ценностные предложения'!$K$5:$K$104,MATCH(C76,'Ценностные предложения'!$A$5:$A$104,0)),0)*0.15+IFERROR(INDEX('Цифровой товар'!$K$5:$K$104,MATCH(D76,'Цифровой товар'!$A$5:$A$104,0)),0)*0.2+IFERROR(INDEX('Единица монетизации'!$M$5:$M$104,MATCH(E76,'Единица монетизации'!$A$5:$A$104,0)),0)*0.2+IFERROR(INDEX('Бизнес-модель'!$L$5:$L$104,MATCH(F76,'Бизнес-модель'!$A$5:$A$104,0)),0)*0.15),0))</f>
        <v/>
      </c>
      <c r="H76" s="2" t="str">
        <f t="shared" si="2"/>
        <v/>
      </c>
      <c r="I76" s="2"/>
      <c r="J76" s="2"/>
    </row>
    <row r="77" spans="1:10" ht="42" customHeight="1">
      <c r="A77" s="2"/>
      <c r="B77" s="2"/>
      <c r="C77" s="2"/>
      <c r="D77" s="2"/>
      <c r="E77" s="2"/>
      <c r="F77" s="2"/>
      <c r="G77" s="2" t="str">
        <f>IF(A77="","",ROUND((IFERROR(INDEX('Проблемы клиентов'!$K$5:$K$104,MATCH(B77,'Проблемы клиентов'!$A$5:$A$104,0)),0)*0.3+IFERROR(INDEX('Ценностные предложения'!$K$5:$K$104,MATCH(C77,'Ценностные предложения'!$A$5:$A$104,0)),0)*0.15+IFERROR(INDEX('Цифровой товар'!$K$5:$K$104,MATCH(D77,'Цифровой товар'!$A$5:$A$104,0)),0)*0.2+IFERROR(INDEX('Единица монетизации'!$M$5:$M$104,MATCH(E77,'Единица монетизации'!$A$5:$A$104,0)),0)*0.2+IFERROR(INDEX('Бизнес-модель'!$L$5:$L$104,MATCH(F77,'Бизнес-модель'!$A$5:$A$104,0)),0)*0.15),0))</f>
        <v/>
      </c>
      <c r="H77" s="2" t="str">
        <f t="shared" si="2"/>
        <v/>
      </c>
      <c r="I77" s="2"/>
      <c r="J77" s="2"/>
    </row>
    <row r="78" spans="1:10" ht="42" customHeight="1">
      <c r="A78" s="2"/>
      <c r="B78" s="2"/>
      <c r="C78" s="2"/>
      <c r="D78" s="2"/>
      <c r="E78" s="2"/>
      <c r="F78" s="2"/>
      <c r="G78" s="2" t="str">
        <f>IF(A78="","",ROUND((IFERROR(INDEX('Проблемы клиентов'!$K$5:$K$104,MATCH(B78,'Проблемы клиентов'!$A$5:$A$104,0)),0)*0.3+IFERROR(INDEX('Ценностные предложения'!$K$5:$K$104,MATCH(C78,'Ценностные предложения'!$A$5:$A$104,0)),0)*0.15+IFERROR(INDEX('Цифровой товар'!$K$5:$K$104,MATCH(D78,'Цифровой товар'!$A$5:$A$104,0)),0)*0.2+IFERROR(INDEX('Единица монетизации'!$M$5:$M$104,MATCH(E78,'Единица монетизации'!$A$5:$A$104,0)),0)*0.2+IFERROR(INDEX('Бизнес-модель'!$L$5:$L$104,MATCH(F78,'Бизнес-модель'!$A$5:$A$104,0)),0)*0.15),0))</f>
        <v/>
      </c>
      <c r="H78" s="2" t="str">
        <f t="shared" si="2"/>
        <v/>
      </c>
      <c r="I78" s="2"/>
      <c r="J78" s="2"/>
    </row>
    <row r="79" spans="1:10" ht="42" customHeight="1">
      <c r="A79" s="2"/>
      <c r="B79" s="2"/>
      <c r="C79" s="2"/>
      <c r="D79" s="2"/>
      <c r="E79" s="2"/>
      <c r="F79" s="2"/>
      <c r="G79" s="2" t="str">
        <f>IF(A79="","",ROUND((IFERROR(INDEX('Проблемы клиентов'!$K$5:$K$104,MATCH(B79,'Проблемы клиентов'!$A$5:$A$104,0)),0)*0.3+IFERROR(INDEX('Ценностные предложения'!$K$5:$K$104,MATCH(C79,'Ценностные предложения'!$A$5:$A$104,0)),0)*0.15+IFERROR(INDEX('Цифровой товар'!$K$5:$K$104,MATCH(D79,'Цифровой товар'!$A$5:$A$104,0)),0)*0.2+IFERROR(INDEX('Единица монетизации'!$M$5:$M$104,MATCH(E79,'Единица монетизации'!$A$5:$A$104,0)),0)*0.2+IFERROR(INDEX('Бизнес-модель'!$L$5:$L$104,MATCH(F79,'Бизнес-модель'!$A$5:$A$104,0)),0)*0.15),0))</f>
        <v/>
      </c>
      <c r="H79" s="2" t="str">
        <f t="shared" si="2"/>
        <v/>
      </c>
      <c r="I79" s="2"/>
      <c r="J79" s="2"/>
    </row>
    <row r="80" spans="1:10" ht="42" customHeight="1">
      <c r="A80" s="2"/>
      <c r="B80" s="2"/>
      <c r="C80" s="2"/>
      <c r="D80" s="2"/>
      <c r="E80" s="2"/>
      <c r="F80" s="2"/>
      <c r="G80" s="2" t="str">
        <f>IF(A80="","",ROUND((IFERROR(INDEX('Проблемы клиентов'!$K$5:$K$104,MATCH(B80,'Проблемы клиентов'!$A$5:$A$104,0)),0)*0.3+IFERROR(INDEX('Ценностные предложения'!$K$5:$K$104,MATCH(C80,'Ценностные предложения'!$A$5:$A$104,0)),0)*0.15+IFERROR(INDEX('Цифровой товар'!$K$5:$K$104,MATCH(D80,'Цифровой товар'!$A$5:$A$104,0)),0)*0.2+IFERROR(INDEX('Единица монетизации'!$M$5:$M$104,MATCH(E80,'Единица монетизации'!$A$5:$A$104,0)),0)*0.2+IFERROR(INDEX('Бизнес-модель'!$L$5:$L$104,MATCH(F80,'Бизнес-модель'!$A$5:$A$104,0)),0)*0.15),0))</f>
        <v/>
      </c>
      <c r="H80" s="2" t="str">
        <f t="shared" si="2"/>
        <v/>
      </c>
      <c r="I80" s="2"/>
      <c r="J80" s="2"/>
    </row>
    <row r="81" spans="1:10" ht="42" customHeight="1">
      <c r="A81" s="2"/>
      <c r="B81" s="2"/>
      <c r="C81" s="2"/>
      <c r="D81" s="2"/>
      <c r="E81" s="2"/>
      <c r="F81" s="2"/>
      <c r="G81" s="2" t="str">
        <f>IF(A81="","",ROUND((IFERROR(INDEX('Проблемы клиентов'!$K$5:$K$104,MATCH(B81,'Проблемы клиентов'!$A$5:$A$104,0)),0)*0.3+IFERROR(INDEX('Ценностные предложения'!$K$5:$K$104,MATCH(C81,'Ценностные предложения'!$A$5:$A$104,0)),0)*0.15+IFERROR(INDEX('Цифровой товар'!$K$5:$K$104,MATCH(D81,'Цифровой товар'!$A$5:$A$104,0)),0)*0.2+IFERROR(INDEX('Единица монетизации'!$M$5:$M$104,MATCH(E81,'Единица монетизации'!$A$5:$A$104,0)),0)*0.2+IFERROR(INDEX('Бизнес-модель'!$L$5:$L$104,MATCH(F81,'Бизнес-модель'!$A$5:$A$104,0)),0)*0.15),0))</f>
        <v/>
      </c>
      <c r="H81" s="2" t="str">
        <f t="shared" si="2"/>
        <v/>
      </c>
      <c r="I81" s="2"/>
      <c r="J81" s="2"/>
    </row>
    <row r="82" spans="1:10" ht="42" customHeight="1">
      <c r="A82" s="2"/>
      <c r="B82" s="2"/>
      <c r="C82" s="2"/>
      <c r="D82" s="2"/>
      <c r="E82" s="2"/>
      <c r="F82" s="2"/>
      <c r="G82" s="2" t="str">
        <f>IF(A82="","",ROUND((IFERROR(INDEX('Проблемы клиентов'!$K$5:$K$104,MATCH(B82,'Проблемы клиентов'!$A$5:$A$104,0)),0)*0.3+IFERROR(INDEX('Ценностные предложения'!$K$5:$K$104,MATCH(C82,'Ценностные предложения'!$A$5:$A$104,0)),0)*0.15+IFERROR(INDEX('Цифровой товар'!$K$5:$K$104,MATCH(D82,'Цифровой товар'!$A$5:$A$104,0)),0)*0.2+IFERROR(INDEX('Единица монетизации'!$M$5:$M$104,MATCH(E82,'Единица монетизации'!$A$5:$A$104,0)),0)*0.2+IFERROR(INDEX('Бизнес-модель'!$L$5:$L$104,MATCH(F82,'Бизнес-модель'!$A$5:$A$104,0)),0)*0.15),0))</f>
        <v/>
      </c>
      <c r="H82" s="2" t="str">
        <f t="shared" si="2"/>
        <v/>
      </c>
      <c r="I82" s="2"/>
      <c r="J82" s="2"/>
    </row>
    <row r="83" spans="1:10" ht="42" customHeight="1">
      <c r="A83" s="2"/>
      <c r="B83" s="2"/>
      <c r="C83" s="2"/>
      <c r="D83" s="2"/>
      <c r="E83" s="2"/>
      <c r="F83" s="2"/>
      <c r="G83" s="2" t="str">
        <f>IF(A83="","",ROUND((IFERROR(INDEX('Проблемы клиентов'!$K$5:$K$104,MATCH(B83,'Проблемы клиентов'!$A$5:$A$104,0)),0)*0.3+IFERROR(INDEX('Ценностные предложения'!$K$5:$K$104,MATCH(C83,'Ценностные предложения'!$A$5:$A$104,0)),0)*0.15+IFERROR(INDEX('Цифровой товар'!$K$5:$K$104,MATCH(D83,'Цифровой товар'!$A$5:$A$104,0)),0)*0.2+IFERROR(INDEX('Единица монетизации'!$M$5:$M$104,MATCH(E83,'Единица монетизации'!$A$5:$A$104,0)),0)*0.2+IFERROR(INDEX('Бизнес-модель'!$L$5:$L$104,MATCH(F83,'Бизнес-модель'!$A$5:$A$104,0)),0)*0.15),0))</f>
        <v/>
      </c>
      <c r="H83" s="2" t="str">
        <f t="shared" si="2"/>
        <v/>
      </c>
      <c r="I83" s="2"/>
      <c r="J83" s="2"/>
    </row>
    <row r="84" spans="1:10" ht="42" customHeight="1">
      <c r="A84" s="2"/>
      <c r="B84" s="2"/>
      <c r="C84" s="2"/>
      <c r="D84" s="2"/>
      <c r="E84" s="2"/>
      <c r="F84" s="2"/>
      <c r="G84" s="2" t="str">
        <f>IF(A84="","",ROUND((IFERROR(INDEX('Проблемы клиентов'!$K$5:$K$104,MATCH(B84,'Проблемы клиентов'!$A$5:$A$104,0)),0)*0.3+IFERROR(INDEX('Ценностные предложения'!$K$5:$K$104,MATCH(C84,'Ценностные предложения'!$A$5:$A$104,0)),0)*0.15+IFERROR(INDEX('Цифровой товар'!$K$5:$K$104,MATCH(D84,'Цифровой товар'!$A$5:$A$104,0)),0)*0.2+IFERROR(INDEX('Единица монетизации'!$M$5:$M$104,MATCH(E84,'Единица монетизации'!$A$5:$A$104,0)),0)*0.2+IFERROR(INDEX('Бизнес-модель'!$L$5:$L$104,MATCH(F84,'Бизнес-модель'!$A$5:$A$104,0)),0)*0.15),0))</f>
        <v/>
      </c>
      <c r="H84" s="2" t="str">
        <f t="shared" si="2"/>
        <v/>
      </c>
      <c r="I84" s="2"/>
      <c r="J84" s="2"/>
    </row>
    <row r="85" spans="1:10" ht="42" customHeight="1">
      <c r="A85" s="2"/>
      <c r="B85" s="2"/>
      <c r="C85" s="2"/>
      <c r="D85" s="2"/>
      <c r="E85" s="2"/>
      <c r="F85" s="2"/>
      <c r="G85" s="2" t="str">
        <f>IF(A85="","",ROUND((IFERROR(INDEX('Проблемы клиентов'!$K$5:$K$104,MATCH(B85,'Проблемы клиентов'!$A$5:$A$104,0)),0)*0.3+IFERROR(INDEX('Ценностные предложения'!$K$5:$K$104,MATCH(C85,'Ценностные предложения'!$A$5:$A$104,0)),0)*0.15+IFERROR(INDEX('Цифровой товар'!$K$5:$K$104,MATCH(D85,'Цифровой товар'!$A$5:$A$104,0)),0)*0.2+IFERROR(INDEX('Единица монетизации'!$M$5:$M$104,MATCH(E85,'Единица монетизации'!$A$5:$A$104,0)),0)*0.2+IFERROR(INDEX('Бизнес-модель'!$L$5:$L$104,MATCH(F85,'Бизнес-модель'!$A$5:$A$104,0)),0)*0.15),0))</f>
        <v/>
      </c>
      <c r="H85" s="2" t="str">
        <f t="shared" si="2"/>
        <v/>
      </c>
      <c r="I85" s="2"/>
      <c r="J85" s="2"/>
    </row>
    <row r="86" spans="1:10" ht="42" customHeight="1">
      <c r="A86" s="2"/>
      <c r="B86" s="2"/>
      <c r="C86" s="2"/>
      <c r="D86" s="2"/>
      <c r="E86" s="2"/>
      <c r="F86" s="2"/>
      <c r="G86" s="2" t="str">
        <f>IF(A86="","",ROUND((IFERROR(INDEX('Проблемы клиентов'!$K$5:$K$104,MATCH(B86,'Проблемы клиентов'!$A$5:$A$104,0)),0)*0.3+IFERROR(INDEX('Ценностные предложения'!$K$5:$K$104,MATCH(C86,'Ценностные предложения'!$A$5:$A$104,0)),0)*0.15+IFERROR(INDEX('Цифровой товар'!$K$5:$K$104,MATCH(D86,'Цифровой товар'!$A$5:$A$104,0)),0)*0.2+IFERROR(INDEX('Единица монетизации'!$M$5:$M$104,MATCH(E86,'Единица монетизации'!$A$5:$A$104,0)),0)*0.2+IFERROR(INDEX('Бизнес-модель'!$L$5:$L$104,MATCH(F86,'Бизнес-модель'!$A$5:$A$104,0)),0)*0.15),0))</f>
        <v/>
      </c>
      <c r="H86" s="2" t="str">
        <f t="shared" si="2"/>
        <v/>
      </c>
      <c r="I86" s="2"/>
      <c r="J86" s="2"/>
    </row>
    <row r="87" spans="1:10" ht="42" customHeight="1">
      <c r="A87" s="2"/>
      <c r="B87" s="2"/>
      <c r="C87" s="2"/>
      <c r="D87" s="2"/>
      <c r="E87" s="2"/>
      <c r="F87" s="2"/>
      <c r="G87" s="2" t="str">
        <f>IF(A87="","",ROUND((IFERROR(INDEX('Проблемы клиентов'!$K$5:$K$104,MATCH(B87,'Проблемы клиентов'!$A$5:$A$104,0)),0)*0.3+IFERROR(INDEX('Ценностные предложения'!$K$5:$K$104,MATCH(C87,'Ценностные предложения'!$A$5:$A$104,0)),0)*0.15+IFERROR(INDEX('Цифровой товар'!$K$5:$K$104,MATCH(D87,'Цифровой товар'!$A$5:$A$104,0)),0)*0.2+IFERROR(INDEX('Единица монетизации'!$M$5:$M$104,MATCH(E87,'Единица монетизации'!$A$5:$A$104,0)),0)*0.2+IFERROR(INDEX('Бизнес-модель'!$L$5:$L$104,MATCH(F87,'Бизнес-модель'!$A$5:$A$104,0)),0)*0.15),0))</f>
        <v/>
      </c>
      <c r="H87" s="2" t="str">
        <f t="shared" si="2"/>
        <v/>
      </c>
      <c r="I87" s="2"/>
      <c r="J87" s="2"/>
    </row>
    <row r="88" spans="1:10" ht="42" customHeight="1">
      <c r="A88" s="2"/>
      <c r="B88" s="2"/>
      <c r="C88" s="2"/>
      <c r="D88" s="2"/>
      <c r="E88" s="2"/>
      <c r="F88" s="2"/>
      <c r="G88" s="2" t="str">
        <f>IF(A88="","",ROUND((IFERROR(INDEX('Проблемы клиентов'!$K$5:$K$104,MATCH(B88,'Проблемы клиентов'!$A$5:$A$104,0)),0)*0.3+IFERROR(INDEX('Ценностные предложения'!$K$5:$K$104,MATCH(C88,'Ценностные предложения'!$A$5:$A$104,0)),0)*0.15+IFERROR(INDEX('Цифровой товар'!$K$5:$K$104,MATCH(D88,'Цифровой товар'!$A$5:$A$104,0)),0)*0.2+IFERROR(INDEX('Единица монетизации'!$M$5:$M$104,MATCH(E88,'Единица монетизации'!$A$5:$A$104,0)),0)*0.2+IFERROR(INDEX('Бизнес-модель'!$L$5:$L$104,MATCH(F88,'Бизнес-модель'!$A$5:$A$104,0)),0)*0.15),0))</f>
        <v/>
      </c>
      <c r="H88" s="2" t="str">
        <f t="shared" si="2"/>
        <v/>
      </c>
      <c r="I88" s="2"/>
      <c r="J88" s="2"/>
    </row>
    <row r="89" spans="1:10" ht="42" customHeight="1">
      <c r="A89" s="2"/>
      <c r="B89" s="2"/>
      <c r="C89" s="2"/>
      <c r="D89" s="2"/>
      <c r="E89" s="2"/>
      <c r="F89" s="2"/>
      <c r="G89" s="2" t="str">
        <f>IF(A89="","",ROUND((IFERROR(INDEX('Проблемы клиентов'!$K$5:$K$104,MATCH(B89,'Проблемы клиентов'!$A$5:$A$104,0)),0)*0.3+IFERROR(INDEX('Ценностные предложения'!$K$5:$K$104,MATCH(C89,'Ценностные предложения'!$A$5:$A$104,0)),0)*0.15+IFERROR(INDEX('Цифровой товар'!$K$5:$K$104,MATCH(D89,'Цифровой товар'!$A$5:$A$104,0)),0)*0.2+IFERROR(INDEX('Единица монетизации'!$M$5:$M$104,MATCH(E89,'Единица монетизации'!$A$5:$A$104,0)),0)*0.2+IFERROR(INDEX('Бизнес-модель'!$L$5:$L$104,MATCH(F89,'Бизнес-модель'!$A$5:$A$104,0)),0)*0.15),0))</f>
        <v/>
      </c>
      <c r="H89" s="2" t="str">
        <f t="shared" si="2"/>
        <v/>
      </c>
      <c r="I89" s="2"/>
      <c r="J89" s="2"/>
    </row>
    <row r="90" spans="1:10" ht="42" customHeight="1">
      <c r="A90" s="2"/>
      <c r="B90" s="2"/>
      <c r="C90" s="2"/>
      <c r="D90" s="2"/>
      <c r="E90" s="2"/>
      <c r="F90" s="2"/>
      <c r="G90" s="2" t="str">
        <f>IF(A90="","",ROUND((IFERROR(INDEX('Проблемы клиентов'!$K$5:$K$104,MATCH(B90,'Проблемы клиентов'!$A$5:$A$104,0)),0)*0.3+IFERROR(INDEX('Ценностные предложения'!$K$5:$K$104,MATCH(C90,'Ценностные предложения'!$A$5:$A$104,0)),0)*0.15+IFERROR(INDEX('Цифровой товар'!$K$5:$K$104,MATCH(D90,'Цифровой товар'!$A$5:$A$104,0)),0)*0.2+IFERROR(INDEX('Единица монетизации'!$M$5:$M$104,MATCH(E90,'Единица монетизации'!$A$5:$A$104,0)),0)*0.2+IFERROR(INDEX('Бизнес-модель'!$L$5:$L$104,MATCH(F90,'Бизнес-модель'!$A$5:$A$104,0)),0)*0.15),0))</f>
        <v/>
      </c>
      <c r="H90" s="2" t="str">
        <f t="shared" si="2"/>
        <v/>
      </c>
      <c r="I90" s="2"/>
      <c r="J90" s="2"/>
    </row>
    <row r="91" spans="1:10" ht="42" customHeight="1">
      <c r="A91" s="2"/>
      <c r="B91" s="2"/>
      <c r="C91" s="2"/>
      <c r="D91" s="2"/>
      <c r="E91" s="2"/>
      <c r="F91" s="2"/>
      <c r="G91" s="2" t="str">
        <f>IF(A91="","",ROUND((IFERROR(INDEX('Проблемы клиентов'!$K$5:$K$104,MATCH(B91,'Проблемы клиентов'!$A$5:$A$104,0)),0)*0.3+IFERROR(INDEX('Ценностные предложения'!$K$5:$K$104,MATCH(C91,'Ценностные предложения'!$A$5:$A$104,0)),0)*0.15+IFERROR(INDEX('Цифровой товар'!$K$5:$K$104,MATCH(D91,'Цифровой товар'!$A$5:$A$104,0)),0)*0.2+IFERROR(INDEX('Единица монетизации'!$M$5:$M$104,MATCH(E91,'Единица монетизации'!$A$5:$A$104,0)),0)*0.2+IFERROR(INDEX('Бизнес-модель'!$L$5:$L$104,MATCH(F91,'Бизнес-модель'!$A$5:$A$104,0)),0)*0.15),0))</f>
        <v/>
      </c>
      <c r="H91" s="2" t="str">
        <f t="shared" si="2"/>
        <v/>
      </c>
      <c r="I91" s="2"/>
      <c r="J91" s="2"/>
    </row>
    <row r="92" spans="1:10" ht="42" customHeight="1">
      <c r="A92" s="2"/>
      <c r="B92" s="2"/>
      <c r="C92" s="2"/>
      <c r="D92" s="2"/>
      <c r="E92" s="2"/>
      <c r="F92" s="2"/>
      <c r="G92" s="2" t="str">
        <f>IF(A92="","",ROUND((IFERROR(INDEX('Проблемы клиентов'!$K$5:$K$104,MATCH(B92,'Проблемы клиентов'!$A$5:$A$104,0)),0)*0.3+IFERROR(INDEX('Ценностные предложения'!$K$5:$K$104,MATCH(C92,'Ценностные предложения'!$A$5:$A$104,0)),0)*0.15+IFERROR(INDEX('Цифровой товар'!$K$5:$K$104,MATCH(D92,'Цифровой товар'!$A$5:$A$104,0)),0)*0.2+IFERROR(INDEX('Единица монетизации'!$M$5:$M$104,MATCH(E92,'Единица монетизации'!$A$5:$A$104,0)),0)*0.2+IFERROR(INDEX('Бизнес-модель'!$L$5:$L$104,MATCH(F92,'Бизнес-модель'!$A$5:$A$104,0)),0)*0.15),0))</f>
        <v/>
      </c>
      <c r="H92" s="2" t="str">
        <f t="shared" si="2"/>
        <v/>
      </c>
      <c r="I92" s="2"/>
      <c r="J92" s="2"/>
    </row>
    <row r="93" spans="1:10" ht="42" customHeight="1">
      <c r="A93" s="2"/>
      <c r="B93" s="2"/>
      <c r="C93" s="2"/>
      <c r="D93" s="2"/>
      <c r="E93" s="2"/>
      <c r="F93" s="2"/>
      <c r="G93" s="2" t="str">
        <f>IF(A93="","",ROUND((IFERROR(INDEX('Проблемы клиентов'!$K$5:$K$104,MATCH(B93,'Проблемы клиентов'!$A$5:$A$104,0)),0)*0.3+IFERROR(INDEX('Ценностные предложения'!$K$5:$K$104,MATCH(C93,'Ценностные предложения'!$A$5:$A$104,0)),0)*0.15+IFERROR(INDEX('Цифровой товар'!$K$5:$K$104,MATCH(D93,'Цифровой товар'!$A$5:$A$104,0)),0)*0.2+IFERROR(INDEX('Единица монетизации'!$M$5:$M$104,MATCH(E93,'Единица монетизации'!$A$5:$A$104,0)),0)*0.2+IFERROR(INDEX('Бизнес-модель'!$L$5:$L$104,MATCH(F93,'Бизнес-модель'!$A$5:$A$104,0)),0)*0.15),0))</f>
        <v/>
      </c>
      <c r="H93" s="2" t="str">
        <f t="shared" si="2"/>
        <v/>
      </c>
      <c r="I93" s="2"/>
      <c r="J93" s="2"/>
    </row>
    <row r="94" spans="1:10" ht="42" customHeight="1">
      <c r="A94" s="2"/>
      <c r="B94" s="2"/>
      <c r="C94" s="2"/>
      <c r="D94" s="2"/>
      <c r="E94" s="2"/>
      <c r="F94" s="2"/>
      <c r="G94" s="2" t="str">
        <f>IF(A94="","",ROUND((IFERROR(INDEX('Проблемы клиентов'!$K$5:$K$104,MATCH(B94,'Проблемы клиентов'!$A$5:$A$104,0)),0)*0.3+IFERROR(INDEX('Ценностные предложения'!$K$5:$K$104,MATCH(C94,'Ценностные предложения'!$A$5:$A$104,0)),0)*0.15+IFERROR(INDEX('Цифровой товар'!$K$5:$K$104,MATCH(D94,'Цифровой товар'!$A$5:$A$104,0)),0)*0.2+IFERROR(INDEX('Единица монетизации'!$M$5:$M$104,MATCH(E94,'Единица монетизации'!$A$5:$A$104,0)),0)*0.2+IFERROR(INDEX('Бизнес-модель'!$L$5:$L$104,MATCH(F94,'Бизнес-модель'!$A$5:$A$104,0)),0)*0.15),0))</f>
        <v/>
      </c>
      <c r="H94" s="2" t="str">
        <f t="shared" si="2"/>
        <v/>
      </c>
      <c r="I94" s="2"/>
      <c r="J94" s="2"/>
    </row>
    <row r="95" spans="1:10" ht="42" customHeight="1">
      <c r="A95" s="2"/>
      <c r="B95" s="2"/>
      <c r="C95" s="2"/>
      <c r="D95" s="2"/>
      <c r="E95" s="2"/>
      <c r="F95" s="2"/>
      <c r="G95" s="2" t="str">
        <f>IF(A95="","",ROUND((IFERROR(INDEX('Проблемы клиентов'!$K$5:$K$104,MATCH(B95,'Проблемы клиентов'!$A$5:$A$104,0)),0)*0.3+IFERROR(INDEX('Ценностные предложения'!$K$5:$K$104,MATCH(C95,'Ценностные предложения'!$A$5:$A$104,0)),0)*0.15+IFERROR(INDEX('Цифровой товар'!$K$5:$K$104,MATCH(D95,'Цифровой товар'!$A$5:$A$104,0)),0)*0.2+IFERROR(INDEX('Единица монетизации'!$M$5:$M$104,MATCH(E95,'Единица монетизации'!$A$5:$A$104,0)),0)*0.2+IFERROR(INDEX('Бизнес-модель'!$L$5:$L$104,MATCH(F95,'Бизнес-модель'!$A$5:$A$104,0)),0)*0.15),0))</f>
        <v/>
      </c>
      <c r="H95" s="2" t="str">
        <f t="shared" si="2"/>
        <v/>
      </c>
      <c r="I95" s="2"/>
      <c r="J95" s="2"/>
    </row>
    <row r="96" spans="1:10" ht="42" customHeight="1">
      <c r="A96" s="2"/>
      <c r="B96" s="2"/>
      <c r="C96" s="2"/>
      <c r="D96" s="2"/>
      <c r="E96" s="2"/>
      <c r="F96" s="2"/>
      <c r="G96" s="2" t="str">
        <f>IF(A96="","",ROUND((IFERROR(INDEX('Проблемы клиентов'!$K$5:$K$104,MATCH(B96,'Проблемы клиентов'!$A$5:$A$104,0)),0)*0.3+IFERROR(INDEX('Ценностные предложения'!$K$5:$K$104,MATCH(C96,'Ценностные предложения'!$A$5:$A$104,0)),0)*0.15+IFERROR(INDEX('Цифровой товар'!$K$5:$K$104,MATCH(D96,'Цифровой товар'!$A$5:$A$104,0)),0)*0.2+IFERROR(INDEX('Единица монетизации'!$M$5:$M$104,MATCH(E96,'Единица монетизации'!$A$5:$A$104,0)),0)*0.2+IFERROR(INDEX('Бизнес-модель'!$L$5:$L$104,MATCH(F96,'Бизнес-модель'!$A$5:$A$104,0)),0)*0.15),0))</f>
        <v/>
      </c>
      <c r="H96" s="2" t="str">
        <f t="shared" si="2"/>
        <v/>
      </c>
      <c r="I96" s="2"/>
      <c r="J96" s="2"/>
    </row>
    <row r="97" spans="1:10" ht="42" customHeight="1">
      <c r="A97" s="2"/>
      <c r="B97" s="2"/>
      <c r="C97" s="2"/>
      <c r="D97" s="2"/>
      <c r="E97" s="2"/>
      <c r="F97" s="2"/>
      <c r="G97" s="2" t="str">
        <f>IF(A97="","",ROUND((IFERROR(INDEX('Проблемы клиентов'!$K$5:$K$104,MATCH(B97,'Проблемы клиентов'!$A$5:$A$104,0)),0)*0.3+IFERROR(INDEX('Ценностные предложения'!$K$5:$K$104,MATCH(C97,'Ценностные предложения'!$A$5:$A$104,0)),0)*0.15+IFERROR(INDEX('Цифровой товар'!$K$5:$K$104,MATCH(D97,'Цифровой товар'!$A$5:$A$104,0)),0)*0.2+IFERROR(INDEX('Единица монетизации'!$M$5:$M$104,MATCH(E97,'Единица монетизации'!$A$5:$A$104,0)),0)*0.2+IFERROR(INDEX('Бизнес-модель'!$L$5:$L$104,MATCH(F97,'Бизнес-модель'!$A$5:$A$104,0)),0)*0.15),0))</f>
        <v/>
      </c>
      <c r="H97" s="2" t="str">
        <f t="shared" si="2"/>
        <v/>
      </c>
      <c r="I97" s="2"/>
      <c r="J97" s="2"/>
    </row>
    <row r="98" spans="1:10" ht="42" customHeight="1">
      <c r="A98" s="2"/>
      <c r="B98" s="2"/>
      <c r="C98" s="2"/>
      <c r="D98" s="2"/>
      <c r="E98" s="2"/>
      <c r="F98" s="2"/>
      <c r="G98" s="2" t="str">
        <f>IF(A98="","",ROUND((IFERROR(INDEX('Проблемы клиентов'!$K$5:$K$104,MATCH(B98,'Проблемы клиентов'!$A$5:$A$104,0)),0)*0.3+IFERROR(INDEX('Ценностные предложения'!$K$5:$K$104,MATCH(C98,'Ценностные предложения'!$A$5:$A$104,0)),0)*0.15+IFERROR(INDEX('Цифровой товар'!$K$5:$K$104,MATCH(D98,'Цифровой товар'!$A$5:$A$104,0)),0)*0.2+IFERROR(INDEX('Единица монетизации'!$M$5:$M$104,MATCH(E98,'Единица монетизации'!$A$5:$A$104,0)),0)*0.2+IFERROR(INDEX('Бизнес-модель'!$L$5:$L$104,MATCH(F98,'Бизнес-модель'!$A$5:$A$104,0)),0)*0.15),0))</f>
        <v/>
      </c>
      <c r="H98" s="2" t="str">
        <f t="shared" si="2"/>
        <v/>
      </c>
      <c r="I98" s="2"/>
      <c r="J98" s="2"/>
    </row>
    <row r="99" spans="1:10" ht="42" customHeight="1">
      <c r="A99" s="2"/>
      <c r="B99" s="2"/>
      <c r="C99" s="2"/>
      <c r="D99" s="2"/>
      <c r="E99" s="2"/>
      <c r="F99" s="2"/>
      <c r="G99" s="2" t="str">
        <f>IF(A99="","",ROUND((IFERROR(INDEX('Проблемы клиентов'!$K$5:$K$104,MATCH(B99,'Проблемы клиентов'!$A$5:$A$104,0)),0)*0.3+IFERROR(INDEX('Ценностные предложения'!$K$5:$K$104,MATCH(C99,'Ценностные предложения'!$A$5:$A$104,0)),0)*0.15+IFERROR(INDEX('Цифровой товар'!$K$5:$K$104,MATCH(D99,'Цифровой товар'!$A$5:$A$104,0)),0)*0.2+IFERROR(INDEX('Единица монетизации'!$M$5:$M$104,MATCH(E99,'Единица монетизации'!$A$5:$A$104,0)),0)*0.2+IFERROR(INDEX('Бизнес-модель'!$L$5:$L$104,MATCH(F99,'Бизнес-модель'!$A$5:$A$104,0)),0)*0.15),0))</f>
        <v/>
      </c>
      <c r="H99" s="2" t="str">
        <f t="shared" si="2"/>
        <v/>
      </c>
      <c r="I99" s="2"/>
      <c r="J99" s="2"/>
    </row>
    <row r="100" spans="1:10" ht="42" customHeight="1">
      <c r="A100" s="2"/>
      <c r="B100" s="2"/>
      <c r="C100" s="2"/>
      <c r="D100" s="2"/>
      <c r="E100" s="2"/>
      <c r="F100" s="2"/>
      <c r="G100" s="2" t="str">
        <f>IF(A100="","",ROUND((IFERROR(INDEX('Проблемы клиентов'!$K$5:$K$104,MATCH(B100,'Проблемы клиентов'!$A$5:$A$104,0)),0)*0.3+IFERROR(INDEX('Ценностные предложения'!$K$5:$K$104,MATCH(C100,'Ценностные предложения'!$A$5:$A$104,0)),0)*0.15+IFERROR(INDEX('Цифровой товар'!$K$5:$K$104,MATCH(D100,'Цифровой товар'!$A$5:$A$104,0)),0)*0.2+IFERROR(INDEX('Единица монетизации'!$M$5:$M$104,MATCH(E100,'Единица монетизации'!$A$5:$A$104,0)),0)*0.2+IFERROR(INDEX('Бизнес-модель'!$L$5:$L$104,MATCH(F100,'Бизнес-модель'!$A$5:$A$104,0)),0)*0.15),0))</f>
        <v/>
      </c>
      <c r="H100" s="2" t="str">
        <f t="shared" si="2"/>
        <v/>
      </c>
      <c r="I100" s="2"/>
      <c r="J100" s="2"/>
    </row>
    <row r="101" spans="1:10" ht="42" customHeight="1">
      <c r="A101" s="2"/>
      <c r="B101" s="2"/>
      <c r="C101" s="2"/>
      <c r="D101" s="2"/>
      <c r="E101" s="2"/>
      <c r="F101" s="2"/>
      <c r="G101" s="2" t="str">
        <f>IF(A101="","",ROUND((IFERROR(INDEX('Проблемы клиентов'!$K$5:$K$104,MATCH(B101,'Проблемы клиентов'!$A$5:$A$104,0)),0)*0.3+IFERROR(INDEX('Ценностные предложения'!$K$5:$K$104,MATCH(C101,'Ценностные предложения'!$A$5:$A$104,0)),0)*0.15+IFERROR(INDEX('Цифровой товар'!$K$5:$K$104,MATCH(D101,'Цифровой товар'!$A$5:$A$104,0)),0)*0.2+IFERROR(INDEX('Единица монетизации'!$M$5:$M$104,MATCH(E101,'Единица монетизации'!$A$5:$A$104,0)),0)*0.2+IFERROR(INDEX('Бизнес-модель'!$L$5:$L$104,MATCH(F101,'Бизнес-модель'!$A$5:$A$104,0)),0)*0.15),0))</f>
        <v/>
      </c>
      <c r="H101" s="2" t="str">
        <f t="shared" ref="H101:H132" si="3">IF(G101="","",IF(G101&gt;=75,"Проходят проверку",IF(G101&gt;=55,"Требуется доработка","Недостаточно данных")))</f>
        <v/>
      </c>
      <c r="I101" s="2"/>
      <c r="J101" s="2"/>
    </row>
    <row r="102" spans="1:10" ht="42" customHeight="1">
      <c r="A102" s="2"/>
      <c r="B102" s="2"/>
      <c r="C102" s="2"/>
      <c r="D102" s="2"/>
      <c r="E102" s="2"/>
      <c r="F102" s="2"/>
      <c r="G102" s="2" t="str">
        <f>IF(A102="","",ROUND((IFERROR(INDEX('Проблемы клиентов'!$K$5:$K$104,MATCH(B102,'Проблемы клиентов'!$A$5:$A$104,0)),0)*0.3+IFERROR(INDEX('Ценностные предложения'!$K$5:$K$104,MATCH(C102,'Ценностные предложения'!$A$5:$A$104,0)),0)*0.15+IFERROR(INDEX('Цифровой товар'!$K$5:$K$104,MATCH(D102,'Цифровой товар'!$A$5:$A$104,0)),0)*0.2+IFERROR(INDEX('Единица монетизации'!$M$5:$M$104,MATCH(E102,'Единица монетизации'!$A$5:$A$104,0)),0)*0.2+IFERROR(INDEX('Бизнес-модель'!$L$5:$L$104,MATCH(F102,'Бизнес-модель'!$A$5:$A$104,0)),0)*0.15),0))</f>
        <v/>
      </c>
      <c r="H102" s="2" t="str">
        <f t="shared" si="3"/>
        <v/>
      </c>
      <c r="I102" s="2"/>
      <c r="J102" s="2"/>
    </row>
    <row r="103" spans="1:10" ht="42" customHeight="1">
      <c r="A103" s="2"/>
      <c r="B103" s="2"/>
      <c r="C103" s="2"/>
      <c r="D103" s="2"/>
      <c r="E103" s="2"/>
      <c r="F103" s="2"/>
      <c r="G103" s="2" t="str">
        <f>IF(A103="","",ROUND((IFERROR(INDEX('Проблемы клиентов'!$K$5:$K$104,MATCH(B103,'Проблемы клиентов'!$A$5:$A$104,0)),0)*0.3+IFERROR(INDEX('Ценностные предложения'!$K$5:$K$104,MATCH(C103,'Ценностные предложения'!$A$5:$A$104,0)),0)*0.15+IFERROR(INDEX('Цифровой товар'!$K$5:$K$104,MATCH(D103,'Цифровой товар'!$A$5:$A$104,0)),0)*0.2+IFERROR(INDEX('Единица монетизации'!$M$5:$M$104,MATCH(E103,'Единица монетизации'!$A$5:$A$104,0)),0)*0.2+IFERROR(INDEX('Бизнес-модель'!$L$5:$L$104,MATCH(F103,'Бизнес-модель'!$A$5:$A$104,0)),0)*0.15),0))</f>
        <v/>
      </c>
      <c r="H103" s="2" t="str">
        <f t="shared" si="3"/>
        <v/>
      </c>
      <c r="I103" s="2"/>
      <c r="J103" s="2"/>
    </row>
    <row r="104" spans="1:10" ht="42" customHeight="1">
      <c r="A104" s="2"/>
      <c r="B104" s="2"/>
      <c r="C104" s="2"/>
      <c r="D104" s="2"/>
      <c r="E104" s="2"/>
      <c r="F104" s="2"/>
      <c r="G104" s="2" t="str">
        <f>IF(A104="","",ROUND((IFERROR(INDEX('Проблемы клиентов'!$K$5:$K$104,MATCH(B104,'Проблемы клиентов'!$A$5:$A$104,0)),0)*0.3+IFERROR(INDEX('Ценностные предложения'!$K$5:$K$104,MATCH(C104,'Ценностные предложения'!$A$5:$A$104,0)),0)*0.15+IFERROR(INDEX('Цифровой товар'!$K$5:$K$104,MATCH(D104,'Цифровой товар'!$A$5:$A$104,0)),0)*0.2+IFERROR(INDEX('Единица монетизации'!$M$5:$M$104,MATCH(E104,'Единица монетизации'!$A$5:$A$104,0)),0)*0.2+IFERROR(INDEX('Бизнес-модель'!$L$5:$L$104,MATCH(F104,'Бизнес-модель'!$A$5:$A$104,0)),0)*0.15),0))</f>
        <v/>
      </c>
      <c r="H104" s="2" t="str">
        <f t="shared" si="3"/>
        <v/>
      </c>
      <c r="I104" s="2"/>
      <c r="J104" s="2"/>
    </row>
  </sheetData>
  <mergeCells count="2">
    <mergeCell ref="A1:J1"/>
    <mergeCell ref="A2:J2"/>
  </mergeCells>
  <conditionalFormatting sqref="G5:G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/>
  </sheetViews>
  <sheetFormatPr defaultRowHeight="14.25"/>
  <cols>
    <col min="1" max="1" width="38" customWidth="1"/>
    <col min="2" max="2" width="18" customWidth="1"/>
    <col min="3" max="3" width="58" customWidth="1"/>
    <col min="4" max="4" width="4" customWidth="1"/>
    <col min="5" max="5" width="28" customWidth="1"/>
    <col min="6" max="7" width="15" customWidth="1"/>
    <col min="8" max="8" width="4" customWidth="1"/>
    <col min="9" max="11" width="15" customWidth="1"/>
  </cols>
  <sheetData>
    <row r="1" spans="1:11" ht="27.95" customHeight="1">
      <c r="A1" s="17" t="s">
        <v>212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3.950000000000003" customHeight="1">
      <c r="A2" s="19" t="s">
        <v>213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33.950000000000003" customHeight="1">
      <c r="A4" s="3" t="s">
        <v>214</v>
      </c>
      <c r="B4" s="4" t="s">
        <v>215</v>
      </c>
      <c r="C4" s="5" t="s">
        <v>216</v>
      </c>
      <c r="E4" s="1" t="s">
        <v>217</v>
      </c>
      <c r="F4" s="1" t="s">
        <v>218</v>
      </c>
      <c r="G4" s="1" t="s">
        <v>219</v>
      </c>
    </row>
    <row r="5" spans="1:11">
      <c r="A5" s="6" t="s">
        <v>220</v>
      </c>
      <c r="B5" s="14">
        <f>COUNTIF('Проблемы клиентов'!$A$5:$A$104,"&lt;&gt;")</f>
        <v>8</v>
      </c>
      <c r="C5" s="8" t="s">
        <v>221</v>
      </c>
      <c r="E5" s="2" t="s">
        <v>26</v>
      </c>
      <c r="F5" s="2">
        <f>COUNTIF('Проблемы клиентов'!$L$5:$L$104,E5)</f>
        <v>1</v>
      </c>
      <c r="G5" s="16">
        <f>IFERROR(F5/SUM($F$5:$F$8),0)</f>
        <v>0.125</v>
      </c>
    </row>
    <row r="6" spans="1:11">
      <c r="A6" s="6" t="s">
        <v>222</v>
      </c>
      <c r="B6" s="14">
        <f>IFERROR(MAX('Проблемы клиентов'!$K$5:$K$104),0)</f>
        <v>90</v>
      </c>
      <c r="C6" s="8" t="s">
        <v>223</v>
      </c>
      <c r="E6" s="2" t="s">
        <v>38</v>
      </c>
      <c r="F6" s="2">
        <f>COUNTIF('Проблемы клиентов'!$L$5:$L$104,E6)</f>
        <v>2</v>
      </c>
      <c r="G6" s="16">
        <f>IFERROR(F6/SUM($F$5:$F$8),0)</f>
        <v>0.25</v>
      </c>
    </row>
    <row r="7" spans="1:11">
      <c r="A7" s="6" t="s">
        <v>224</v>
      </c>
      <c r="B7" s="14">
        <f>COUNTIF('Ценностные предложения'!$L$5:$L$104,"Готово")</f>
        <v>3</v>
      </c>
      <c r="C7" s="8" t="s">
        <v>225</v>
      </c>
      <c r="E7" s="2" t="s">
        <v>49</v>
      </c>
      <c r="F7" s="2">
        <f>COUNTIF('Проблемы клиентов'!$L$5:$L$104,E7)</f>
        <v>5</v>
      </c>
      <c r="G7" s="16">
        <f>IFERROR(F7/SUM($F$5:$F$8),0)</f>
        <v>0.625</v>
      </c>
    </row>
    <row r="8" spans="1:11">
      <c r="A8" s="6" t="s">
        <v>226</v>
      </c>
      <c r="B8" s="14">
        <f>COUNTIF('Цифровой товар'!$L$5:$L$104,"Готово")</f>
        <v>3</v>
      </c>
      <c r="C8" s="8" t="s">
        <v>227</v>
      </c>
      <c r="E8" s="2" t="s">
        <v>59</v>
      </c>
      <c r="F8" s="2">
        <f>COUNTIF('Проблемы клиентов'!$L$5:$L$104,E8)</f>
        <v>0</v>
      </c>
      <c r="G8" s="16">
        <f>IFERROR(F8/SUM($F$5:$F$8),0)</f>
        <v>0</v>
      </c>
    </row>
    <row r="9" spans="1:11" ht="25.5">
      <c r="A9" s="6" t="s">
        <v>228</v>
      </c>
      <c r="B9" s="14">
        <f>IFERROR(ROUND(AVERAGE('Проверка связности'!$G$5:$G$104),0),0)</f>
        <v>84</v>
      </c>
      <c r="C9" s="8" t="s">
        <v>229</v>
      </c>
    </row>
    <row r="10" spans="1:11">
      <c r="A10" s="9" t="s">
        <v>230</v>
      </c>
      <c r="B10" s="15">
        <f>IFERROR(SUM('Единица монетизации'!$H$5:$H$104),0)</f>
        <v>100</v>
      </c>
      <c r="C10" s="11" t="s">
        <v>231</v>
      </c>
    </row>
    <row r="11" spans="1:11" ht="33.950000000000003" customHeight="1">
      <c r="E11" s="1" t="s">
        <v>232</v>
      </c>
      <c r="F11" s="1" t="s">
        <v>218</v>
      </c>
      <c r="G11" s="1" t="s">
        <v>219</v>
      </c>
    </row>
    <row r="12" spans="1:11">
      <c r="E12" s="2" t="s">
        <v>25</v>
      </c>
      <c r="F12" s="2">
        <f>COUNTIF('Проверка связности'!$H$5:$H$104,E12)</f>
        <v>3</v>
      </c>
      <c r="G12" s="16">
        <f>IFERROR(F12/SUM($F$12:$F$14),0)</f>
        <v>1</v>
      </c>
    </row>
    <row r="13" spans="1:11">
      <c r="E13" s="2" t="s">
        <v>37</v>
      </c>
      <c r="F13" s="2">
        <f>COUNTIF('Проверка связности'!$H$5:$H$104,E13)</f>
        <v>0</v>
      </c>
      <c r="G13" s="16">
        <f>IFERROR(F13/SUM($F$12:$F$14),0)</f>
        <v>0</v>
      </c>
    </row>
    <row r="14" spans="1:11">
      <c r="E14" s="2" t="s">
        <v>48</v>
      </c>
      <c r="F14" s="2">
        <f>COUNTIF('Проверка связности'!$H$5:$H$104,E14)</f>
        <v>0</v>
      </c>
      <c r="G14" s="16">
        <f>IFERROR(F14/SUM($F$12:$F$14),0)</f>
        <v>0</v>
      </c>
    </row>
  </sheetData>
  <mergeCells count="2">
    <mergeCell ref="A1:K1"/>
    <mergeCell ref="A2:K2"/>
  </mergeCells>
  <conditionalFormatting sqref="F5:F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F5:F8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Справочники</vt:lpstr>
      <vt:lpstr>Инструкция</vt:lpstr>
      <vt:lpstr>Исходные данные</vt:lpstr>
      <vt:lpstr>Проблемы клиентов</vt:lpstr>
      <vt:lpstr>Конкурентные решения</vt:lpstr>
      <vt:lpstr>Ценностные предложения</vt:lpstr>
      <vt:lpstr>Цифровой товар</vt:lpstr>
      <vt:lpstr>Единица монетизации</vt:lpstr>
      <vt:lpstr>Бизнес-модель</vt:lpstr>
      <vt:lpstr>Проверка связности</vt:lpstr>
      <vt:lpstr>Дашборд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Aliaksandr Khajynau</cp:lastModifiedBy>
  <dcterms:modified xsi:type="dcterms:W3CDTF">2026-09-26T13:31:35Z</dcterms:modified>
</cp:coreProperties>
</file>